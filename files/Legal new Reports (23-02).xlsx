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192.168.2.7\data\HR\Muhammed Ajeesh\Software\Next Plan\"/>
    </mc:Choice>
  </mc:AlternateContent>
  <bookViews>
    <workbookView xWindow="0" yWindow="0" windowWidth="28800" windowHeight="12210" firstSheet="3" activeTab="9"/>
  </bookViews>
  <sheets>
    <sheet name="Action Report" sheetId="1" r:id="rId1"/>
    <sheet name="Expence Report" sheetId="2" r:id="rId2"/>
    <sheet name="Client Base Statement" sheetId="3" r:id="rId3"/>
    <sheet name="Action Report With Clim and Ex" sheetId="5" r:id="rId4"/>
    <sheet name="Closed legal repoirt" sheetId="6" r:id="rId5"/>
    <sheet name="Bad Debts" sheetId="7" r:id="rId6"/>
    <sheet name="Summery Report Firm Wise" sheetId="8" r:id="rId7"/>
    <sheet name="Sheet1" sheetId="10" r:id="rId8"/>
    <sheet name="Graph" sheetId="9" r:id="rId9"/>
    <sheet name="uae Pass" sheetId="11" r:id="rId10"/>
  </sheets>
  <definedNames>
    <definedName name="_xlnm._FilterDatabase" localSheetId="2" hidden="1">'Client Base Statement'!$B$8:$G$21</definedName>
    <definedName name="_xlnm.Print_Area" localSheetId="0">'Action Report'!$B$3:$F$22</definedName>
    <definedName name="_xlnm.Print_Area" localSheetId="3">'Action Report With Clim and Ex'!$B$3:$H$22</definedName>
    <definedName name="_xlnm.Print_Area" localSheetId="5">'Bad Debts'!$A$2:$K$14</definedName>
    <definedName name="_xlnm.Print_Area" localSheetId="2">'Client Base Statement'!$B$2:$G$21</definedName>
    <definedName name="_xlnm.Print_Area" localSheetId="4">'Closed legal repoirt'!$A$2:$K$14</definedName>
    <definedName name="_xlnm.Print_Area" localSheetId="1">'Expence Report'!$A$1:$F$18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7" l="1"/>
  <c r="G14" i="7"/>
  <c r="F14" i="7"/>
  <c r="I13" i="7"/>
  <c r="I12" i="7"/>
  <c r="I11" i="7"/>
  <c r="I10" i="7"/>
  <c r="I9" i="7"/>
  <c r="I8" i="7"/>
  <c r="I7" i="7"/>
  <c r="I6" i="7"/>
  <c r="I5" i="7"/>
  <c r="I4" i="7"/>
  <c r="H14" i="6"/>
  <c r="G14" i="6"/>
  <c r="F14" i="6"/>
  <c r="I13" i="6"/>
  <c r="I12" i="6"/>
  <c r="I11" i="6"/>
  <c r="I10" i="6"/>
  <c r="I9" i="6"/>
  <c r="I8" i="6"/>
  <c r="I7" i="6"/>
  <c r="I6" i="6"/>
  <c r="I5" i="6"/>
  <c r="I4" i="6"/>
  <c r="F21" i="3"/>
  <c r="E21" i="3"/>
  <c r="G21" i="3" s="1"/>
  <c r="G10" i="3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I14" i="7" l="1"/>
  <c r="I14" i="6"/>
</calcChain>
</file>

<file path=xl/sharedStrings.xml><?xml version="1.0" encoding="utf-8"?>
<sst xmlns="http://schemas.openxmlformats.org/spreadsheetml/2006/main" count="446" uniqueCount="110">
  <si>
    <t>Action Reprot</t>
  </si>
  <si>
    <t>Client</t>
  </si>
  <si>
    <t>Al Rajhi Construction LLC</t>
  </si>
  <si>
    <t>Caste Status</t>
  </si>
  <si>
    <t>Progress</t>
  </si>
  <si>
    <t>Case Start</t>
  </si>
  <si>
    <t>Case No :</t>
  </si>
  <si>
    <t>Case no.111/2015</t>
  </si>
  <si>
    <t xml:space="preserve">Legal </t>
  </si>
  <si>
    <t>Al Kabban &amp; Associates</t>
  </si>
  <si>
    <t>Excussion No:</t>
  </si>
  <si>
    <t>Total Clime Amount</t>
  </si>
  <si>
    <t>Advocate Fee</t>
  </si>
  <si>
    <t>10% of the claim amount</t>
  </si>
  <si>
    <t>Contact No :</t>
  </si>
  <si>
    <t>Date</t>
  </si>
  <si>
    <t>Description</t>
  </si>
  <si>
    <t>Status</t>
  </si>
  <si>
    <t>Firm /Party/internal</t>
  </si>
  <si>
    <t>Ramerk</t>
  </si>
  <si>
    <t>Documents Submitted to Al Kabban &amp; Associates for Filing case</t>
  </si>
  <si>
    <t>Case Action</t>
  </si>
  <si>
    <t>court has been adjourned to 05 Apr 2015 for resummoning the defendant</t>
  </si>
  <si>
    <t>Follow upAction</t>
  </si>
  <si>
    <t>Expert already submitted the report in favour of us , and this case shall refer to Arbitration centre and for this a meeting is required in between MD and Mr.shamshudeen.</t>
  </si>
  <si>
    <t>Action</t>
  </si>
  <si>
    <t>18-04-17 Arbitrator Meeting, then 19-05-17-Meeting of AlRajhi for their reply</t>
  </si>
  <si>
    <t>There is an order to attach the vehicles of the company. Email Received on 26-01-2020</t>
  </si>
  <si>
    <t>we would like to inform you that the Al Rajhi Case has been adjourned to 23/04/2018 for the first hearing</t>
  </si>
  <si>
    <t>Received Arbitration Award Report on 20-02-2018 and asked for Arabic Translation.</t>
  </si>
  <si>
    <t>Filed appeal in dubai appeal court and waiting for further information from case management section. If any message they will inform to us.</t>
  </si>
  <si>
    <t>we would like to inform you that the above mentioned case has been adjourned to 03/07/2018 for the reply of the defendant .</t>
  </si>
  <si>
    <t>we would like to inform you that the above mentioned case has been adjourned to 24/07/2018 for pronouncing the judgement.</t>
  </si>
  <si>
    <t>we would like to inform you that the above mentioned case has been adjourned to 10/06/2018 for pronouncing the judgement.</t>
  </si>
  <si>
    <t>Case of Al Rajhi Arbitration case has been adjourned to 15/02/2018 for pronouncing the Judgement.</t>
  </si>
  <si>
    <t>Expence Report</t>
  </si>
  <si>
    <t>Expense</t>
  </si>
  <si>
    <t>Remark</t>
  </si>
  <si>
    <t>Sent 1000 for legal notice and 50 for courier fee</t>
  </si>
  <si>
    <t>Legal Notice Fee</t>
  </si>
  <si>
    <t>Legal Notice Translation Exp (18pages*50)</t>
  </si>
  <si>
    <t>Translation Fee</t>
  </si>
  <si>
    <t>Court Fee paid</t>
  </si>
  <si>
    <t>Court Fee</t>
  </si>
  <si>
    <t>Professional Fee paid our of 833837.5*10=83383(Balance 58383)</t>
  </si>
  <si>
    <t>Professional Fee</t>
  </si>
  <si>
    <t>Court refered the case to expert to study the file and submit the report and paid 10000 as Expert Fee.</t>
  </si>
  <si>
    <t>Expert Fee</t>
  </si>
  <si>
    <t>Paid for opening the file in Arbitration Amt 10,000 dhs</t>
  </si>
  <si>
    <t>Arbitration Fee</t>
  </si>
  <si>
    <t>Document Translation Fee</t>
  </si>
  <si>
    <t>Arbitration Fee 68000 paid. ( Break down: 42,265 Arbitrators fees, 5735 Arbitrators exp and 20,000 for Administrative fees )</t>
  </si>
  <si>
    <t>Received 10 pages regarding case and translation fee paid to Advocate.</t>
  </si>
  <si>
    <t>Arbitration Award Report Translation Exp.</t>
  </si>
  <si>
    <t>Total</t>
  </si>
  <si>
    <t>Paid to</t>
  </si>
  <si>
    <t>Court</t>
  </si>
  <si>
    <t>Statement Base Report</t>
  </si>
  <si>
    <t>Clime</t>
  </si>
  <si>
    <t>Clime Amount</t>
  </si>
  <si>
    <t>Report : Client Base Action Report</t>
  </si>
  <si>
    <t>Balance</t>
  </si>
  <si>
    <t>Expence</t>
  </si>
  <si>
    <t>Total Legal Statement</t>
  </si>
  <si>
    <t>S/NO</t>
  </si>
  <si>
    <t>Case Status</t>
  </si>
  <si>
    <t>Legal Firm</t>
  </si>
  <si>
    <t>Contact No</t>
  </si>
  <si>
    <t>Received Clime</t>
  </si>
  <si>
    <t>Balance To Clime</t>
  </si>
  <si>
    <t>Last Action</t>
  </si>
  <si>
    <t>06-567451</t>
  </si>
  <si>
    <t>Emco Bldg Cont LLC</t>
  </si>
  <si>
    <t>Close</t>
  </si>
  <si>
    <t>Dubco Contracting LLC</t>
  </si>
  <si>
    <t>Robodh Contracting LLC</t>
  </si>
  <si>
    <t>Thomas Bennett Group Of Companies</t>
  </si>
  <si>
    <t>Kaveri General Contracting Co LLC</t>
  </si>
  <si>
    <t>Finan Foamworks LLC</t>
  </si>
  <si>
    <t>Sun Island Contracting LLC</t>
  </si>
  <si>
    <t>Tilcas Electromechanical/Update Group</t>
  </si>
  <si>
    <t>Al Taer Al Fedy Technical Works</t>
  </si>
  <si>
    <t>Closed</t>
  </si>
  <si>
    <t>Bad Debts</t>
  </si>
  <si>
    <t>Total Exp</t>
  </si>
  <si>
    <t>Total Clim</t>
  </si>
  <si>
    <t>Receve Clime</t>
  </si>
  <si>
    <t>Clint</t>
  </si>
  <si>
    <t>Firm</t>
  </si>
  <si>
    <t>Start Date</t>
  </si>
  <si>
    <t>****</t>
  </si>
  <si>
    <t>*****</t>
  </si>
  <si>
    <t>Al Kabban &amp; Associates (Firm)</t>
  </si>
  <si>
    <t>Amir (3rd Party)</t>
  </si>
  <si>
    <t>***</t>
  </si>
  <si>
    <t>Balance Amt</t>
  </si>
  <si>
    <t>Summery</t>
  </si>
  <si>
    <t>Balance Clime</t>
  </si>
  <si>
    <t>**</t>
  </si>
  <si>
    <t>Case Action (Civil)</t>
  </si>
  <si>
    <t>Case Action (Armada)</t>
  </si>
  <si>
    <t xml:space="preserve">Date Wise Order </t>
  </si>
  <si>
    <t>clim and exp with firm /3rd catgry etc</t>
  </si>
  <si>
    <t>Month and year base</t>
  </si>
  <si>
    <t xml:space="preserve">Need All Type Sorting Option </t>
  </si>
  <si>
    <t>Uae Pass</t>
  </si>
  <si>
    <t>Case No</t>
  </si>
  <si>
    <t>Purpose</t>
  </si>
  <si>
    <t>Documents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</si>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</sst>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 style="medium">
        <color indexed="64"/>
      </right>
      <top/>
      <bottom style="medium">
        <color rgb="FFD9D9D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3" fillId="0" borderId="3" xfId="0" applyFont="1" applyBorder="1"/>
    <xf numFmtId="0" fontId="2" fillId="0" borderId="7" xfId="0" applyFont="1" applyBorder="1"/>
    <xf numFmtId="14" fontId="3" fillId="0" borderId="0" xfId="0" applyNumberFormat="1" applyFont="1" applyBorder="1" applyAlignment="1">
      <alignment horizontal="left"/>
    </xf>
    <xf numFmtId="0" fontId="2" fillId="0" borderId="0" xfId="0" applyFont="1" applyBorder="1"/>
    <xf numFmtId="0" fontId="2" fillId="0" borderId="8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2" fillId="0" borderId="9" xfId="0" applyFont="1" applyBorder="1"/>
    <xf numFmtId="4" fontId="3" fillId="0" borderId="10" xfId="0" applyNumberFormat="1" applyFont="1" applyBorder="1" applyAlignment="1">
      <alignment horizontal="left"/>
    </xf>
    <xf numFmtId="0" fontId="2" fillId="0" borderId="10" xfId="0" applyFont="1" applyBorder="1"/>
    <xf numFmtId="0" fontId="3" fillId="0" borderId="8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4" fontId="4" fillId="2" borderId="15" xfId="0" applyNumberFormat="1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14" fontId="4" fillId="2" borderId="19" xfId="0" applyNumberFormat="1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vertical="center" wrapText="1"/>
    </xf>
    <xf numFmtId="0" fontId="0" fillId="0" borderId="8" xfId="0" applyBorder="1"/>
    <xf numFmtId="0" fontId="0" fillId="0" borderId="23" xfId="0" applyBorder="1"/>
    <xf numFmtId="0" fontId="0" fillId="0" borderId="24" xfId="0" applyBorder="1"/>
    <xf numFmtId="0" fontId="4" fillId="2" borderId="16" xfId="0" applyFont="1" applyFill="1" applyBorder="1" applyAlignment="1">
      <alignment horizontal="right" vertical="center" wrapText="1"/>
    </xf>
    <xf numFmtId="0" fontId="0" fillId="0" borderId="18" xfId="0" applyBorder="1"/>
    <xf numFmtId="0" fontId="1" fillId="0" borderId="25" xfId="0" applyFont="1" applyBorder="1"/>
    <xf numFmtId="0" fontId="0" fillId="0" borderId="26" xfId="0" applyBorder="1"/>
    <xf numFmtId="0" fontId="4" fillId="2" borderId="17" xfId="0" applyFont="1" applyFill="1" applyBorder="1" applyAlignment="1">
      <alignment horizontal="right" vertical="center" wrapText="1"/>
    </xf>
    <xf numFmtId="0" fontId="1" fillId="0" borderId="27" xfId="0" applyFont="1" applyBorder="1"/>
    <xf numFmtId="0" fontId="0" fillId="0" borderId="13" xfId="0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5" xfId="0" applyBorder="1"/>
    <xf numFmtId="0" fontId="0" fillId="0" borderId="25" xfId="0" applyBorder="1" applyAlignment="1">
      <alignment horizontal="center" vertical="center"/>
    </xf>
    <xf numFmtId="14" fontId="4" fillId="2" borderId="29" xfId="0" applyNumberFormat="1" applyFont="1" applyFill="1" applyBorder="1" applyAlignment="1">
      <alignment vertical="center" wrapText="1"/>
    </xf>
    <xf numFmtId="0" fontId="4" fillId="2" borderId="30" xfId="0" applyFont="1" applyFill="1" applyBorder="1" applyAlignment="1">
      <alignment vertical="center" wrapText="1"/>
    </xf>
    <xf numFmtId="0" fontId="4" fillId="2" borderId="30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vertical="center" wrapText="1"/>
    </xf>
    <xf numFmtId="4" fontId="4" fillId="2" borderId="32" xfId="0" applyNumberFormat="1" applyFont="1" applyFill="1" applyBorder="1" applyAlignment="1">
      <alignment vertical="center" wrapText="1"/>
    </xf>
    <xf numFmtId="0" fontId="4" fillId="2" borderId="32" xfId="0" applyFont="1" applyFill="1" applyBorder="1" applyAlignment="1">
      <alignment horizontal="right" vertical="center" wrapText="1"/>
    </xf>
    <xf numFmtId="0" fontId="4" fillId="2" borderId="33" xfId="0" applyFont="1" applyFill="1" applyBorder="1" applyAlignment="1">
      <alignment horizontal="right" vertical="center" wrapText="1"/>
    </xf>
    <xf numFmtId="3" fontId="4" fillId="2" borderId="32" xfId="0" applyNumberFormat="1" applyFont="1" applyFill="1" applyBorder="1" applyAlignment="1">
      <alignment vertical="center" wrapText="1"/>
    </xf>
    <xf numFmtId="0" fontId="0" fillId="0" borderId="5" xfId="0" applyBorder="1" applyAlignment="1">
      <alignment horizontal="center"/>
    </xf>
    <xf numFmtId="4" fontId="0" fillId="0" borderId="5" xfId="0" applyNumberFormat="1" applyBorder="1"/>
    <xf numFmtId="4" fontId="0" fillId="0" borderId="6" xfId="0" applyNumberFormat="1" applyBorder="1"/>
    <xf numFmtId="0" fontId="4" fillId="2" borderId="0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/>
    <xf numFmtId="0" fontId="0" fillId="0" borderId="16" xfId="0" applyBorder="1"/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/>
    <xf numFmtId="0" fontId="1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63712</xdr:rowOff>
    </xdr:from>
    <xdr:to>
      <xdr:col>11</xdr:col>
      <xdr:colOff>485775</xdr:colOff>
      <xdr:row>21</xdr:row>
      <xdr:rowOff>58378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63712"/>
          <a:ext cx="7134225" cy="3995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F29"/>
  <sheetViews>
    <sheetView workbookViewId="0">
      <selection activeCell="C29" sqref="C29"/>
    </sheetView>
  </sheetViews>
  <sheetFormatPr defaultRowHeight="15" x14ac:dyDescent="0.25"/>
  <cols>
    <col min="2" max="2" width="12.140625" customWidth="1"/>
    <col min="3" max="3" width="80.7109375" customWidth="1"/>
    <col min="4" max="4" width="14.7109375" customWidth="1"/>
    <col min="5" max="5" width="23.140625" customWidth="1"/>
    <col min="6" max="6" width="22.28515625" customWidth="1"/>
  </cols>
  <sheetData>
    <row r="2" spans="2:6" ht="15.75" thickBot="1" x14ac:dyDescent="0.3"/>
    <row r="3" spans="2:6" ht="15.75" thickBot="1" x14ac:dyDescent="0.3">
      <c r="B3" s="1" t="s">
        <v>60</v>
      </c>
      <c r="C3" s="2"/>
      <c r="D3" s="2"/>
      <c r="E3" s="2"/>
      <c r="F3" s="3"/>
    </row>
    <row r="4" spans="2:6" ht="15.75" thickBot="1" x14ac:dyDescent="0.3">
      <c r="B4" s="61" t="s">
        <v>0</v>
      </c>
      <c r="C4" s="62"/>
      <c r="D4" s="62"/>
      <c r="E4" s="62"/>
      <c r="F4" s="63"/>
    </row>
    <row r="5" spans="2:6" ht="12.95" customHeight="1" x14ac:dyDescent="0.25">
      <c r="B5" s="4" t="s">
        <v>1</v>
      </c>
      <c r="C5" s="5" t="s">
        <v>2</v>
      </c>
      <c r="D5" s="6" t="s">
        <v>3</v>
      </c>
      <c r="E5" s="6"/>
      <c r="F5" s="7" t="s">
        <v>4</v>
      </c>
    </row>
    <row r="6" spans="2:6" ht="12.95" customHeight="1" x14ac:dyDescent="0.25">
      <c r="B6" s="8" t="s">
        <v>5</v>
      </c>
      <c r="C6" s="9">
        <v>41996</v>
      </c>
      <c r="D6" s="10" t="s">
        <v>6</v>
      </c>
      <c r="E6" s="10"/>
      <c r="F6" s="11" t="s">
        <v>7</v>
      </c>
    </row>
    <row r="7" spans="2:6" ht="12.95" customHeight="1" x14ac:dyDescent="0.25">
      <c r="B7" s="8" t="s">
        <v>8</v>
      </c>
      <c r="C7" s="12" t="s">
        <v>9</v>
      </c>
      <c r="D7" s="10" t="s">
        <v>10</v>
      </c>
      <c r="E7" s="10"/>
      <c r="F7" s="11"/>
    </row>
    <row r="8" spans="2:6" ht="12.95" customHeight="1" x14ac:dyDescent="0.25">
      <c r="B8" s="8" t="s">
        <v>11</v>
      </c>
      <c r="C8" s="13">
        <v>833837.5</v>
      </c>
      <c r="D8" s="10" t="s">
        <v>12</v>
      </c>
      <c r="E8" s="10"/>
      <c r="F8" s="11" t="s">
        <v>13</v>
      </c>
    </row>
    <row r="9" spans="2:6" ht="12.95" customHeight="1" thickBot="1" x14ac:dyDescent="0.3">
      <c r="B9" s="14"/>
      <c r="C9" s="15"/>
      <c r="D9" s="16" t="s">
        <v>14</v>
      </c>
      <c r="E9" s="10"/>
      <c r="F9" s="17"/>
    </row>
    <row r="10" spans="2:6" ht="12.95" customHeight="1" thickBot="1" x14ac:dyDescent="0.3">
      <c r="B10" s="18" t="s">
        <v>15</v>
      </c>
      <c r="C10" s="19" t="s">
        <v>16</v>
      </c>
      <c r="D10" s="20" t="s">
        <v>17</v>
      </c>
      <c r="E10" s="2" t="s">
        <v>18</v>
      </c>
      <c r="F10" s="21" t="s">
        <v>19</v>
      </c>
    </row>
    <row r="11" spans="2:6" ht="21.75" customHeight="1" x14ac:dyDescent="0.25">
      <c r="B11" s="22">
        <v>43008</v>
      </c>
      <c r="C11" s="23" t="s">
        <v>20</v>
      </c>
      <c r="D11" s="23" t="s">
        <v>99</v>
      </c>
      <c r="E11" s="24"/>
      <c r="F11" s="25"/>
    </row>
    <row r="12" spans="2:6" ht="21.75" customHeight="1" x14ac:dyDescent="0.25">
      <c r="B12" s="22">
        <v>43008</v>
      </c>
      <c r="C12" s="23" t="s">
        <v>22</v>
      </c>
      <c r="D12" s="23" t="s">
        <v>23</v>
      </c>
      <c r="E12" s="24"/>
      <c r="F12" s="25"/>
    </row>
    <row r="13" spans="2:6" ht="21.75" customHeight="1" x14ac:dyDescent="0.25">
      <c r="B13" s="22">
        <v>43008</v>
      </c>
      <c r="C13" s="23" t="s">
        <v>24</v>
      </c>
      <c r="D13" s="23" t="s">
        <v>100</v>
      </c>
      <c r="E13" s="24"/>
      <c r="F13" s="25"/>
    </row>
    <row r="14" spans="2:6" ht="21.75" customHeight="1" x14ac:dyDescent="0.25">
      <c r="B14" s="22">
        <v>43008</v>
      </c>
      <c r="C14" s="23" t="s">
        <v>26</v>
      </c>
      <c r="D14" s="23" t="s">
        <v>21</v>
      </c>
      <c r="E14" s="24"/>
      <c r="F14" s="25"/>
    </row>
    <row r="15" spans="2:6" ht="21.75" customHeight="1" x14ac:dyDescent="0.25">
      <c r="B15" s="22">
        <v>43858</v>
      </c>
      <c r="C15" s="23" t="s">
        <v>27</v>
      </c>
      <c r="D15" s="23" t="s">
        <v>21</v>
      </c>
      <c r="E15" s="24"/>
      <c r="F15" s="25"/>
    </row>
    <row r="16" spans="2:6" ht="21.75" customHeight="1" x14ac:dyDescent="0.25">
      <c r="B16" s="22">
        <v>43214</v>
      </c>
      <c r="C16" s="23" t="s">
        <v>28</v>
      </c>
      <c r="D16" s="23" t="s">
        <v>21</v>
      </c>
      <c r="E16" s="24"/>
      <c r="F16" s="25"/>
    </row>
    <row r="17" spans="2:6" ht="21.75" customHeight="1" x14ac:dyDescent="0.25">
      <c r="B17" s="22">
        <v>43152</v>
      </c>
      <c r="C17" s="23" t="s">
        <v>29</v>
      </c>
      <c r="D17" s="23" t="s">
        <v>23</v>
      </c>
      <c r="E17" s="24"/>
      <c r="F17" s="25"/>
    </row>
    <row r="18" spans="2:6" ht="21.75" customHeight="1" x14ac:dyDescent="0.25">
      <c r="B18" s="22">
        <v>43358</v>
      </c>
      <c r="C18" s="23" t="s">
        <v>30</v>
      </c>
      <c r="D18" s="23" t="s">
        <v>23</v>
      </c>
      <c r="E18" s="24"/>
      <c r="F18" s="25"/>
    </row>
    <row r="19" spans="2:6" ht="24.75" customHeight="1" x14ac:dyDescent="0.25">
      <c r="B19" s="22">
        <v>43295</v>
      </c>
      <c r="C19" s="23" t="s">
        <v>31</v>
      </c>
      <c r="D19" s="23" t="s">
        <v>23</v>
      </c>
      <c r="E19" s="24"/>
      <c r="F19" s="25"/>
    </row>
    <row r="20" spans="2:6" ht="27.75" customHeight="1" x14ac:dyDescent="0.25">
      <c r="B20" s="22">
        <v>43295</v>
      </c>
      <c r="C20" s="23" t="s">
        <v>32</v>
      </c>
      <c r="D20" s="23" t="s">
        <v>23</v>
      </c>
      <c r="E20" s="24"/>
      <c r="F20" s="25"/>
    </row>
    <row r="21" spans="2:6" ht="27.75" customHeight="1" x14ac:dyDescent="0.25">
      <c r="B21" s="22">
        <v>43293</v>
      </c>
      <c r="C21" s="23" t="s">
        <v>33</v>
      </c>
      <c r="D21" s="23" t="s">
        <v>23</v>
      </c>
      <c r="E21" s="24"/>
      <c r="F21" s="25"/>
    </row>
    <row r="22" spans="2:6" ht="21.75" customHeight="1" thickBot="1" x14ac:dyDescent="0.3">
      <c r="B22" s="26">
        <v>43137</v>
      </c>
      <c r="C22" s="27" t="s">
        <v>34</v>
      </c>
      <c r="D22" s="23" t="s">
        <v>23</v>
      </c>
      <c r="E22" s="28"/>
      <c r="F22" s="29"/>
    </row>
    <row r="23" spans="2:6" ht="12.95" customHeight="1" x14ac:dyDescent="0.25"/>
    <row r="24" spans="2:6" ht="12.95" customHeight="1" x14ac:dyDescent="0.25"/>
    <row r="25" spans="2:6" ht="12.95" customHeight="1" x14ac:dyDescent="0.25"/>
    <row r="26" spans="2:6" ht="12.95" customHeight="1" x14ac:dyDescent="0.25"/>
    <row r="27" spans="2:6" ht="12.95" customHeight="1" x14ac:dyDescent="0.25"/>
    <row r="29" spans="2:6" x14ac:dyDescent="0.25">
      <c r="C29" t="s">
        <v>104</v>
      </c>
    </row>
  </sheetData>
  <mergeCells count="1">
    <mergeCell ref="B4:F4"/>
  </mergeCells>
  <pageMargins left="0.2" right="0.2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F23"/>
  <sheetViews>
    <sheetView workbookViewId="0">
      <selection activeCell="B33" sqref="B33"/>
    </sheetView>
  </sheetViews>
  <sheetFormatPr defaultRowHeight="15" x14ac:dyDescent="0.25"/>
  <cols>
    <col min="1" max="1" width="10.7109375" customWidth="1"/>
    <col min="2" max="2" width="62" customWidth="1"/>
    <col min="3" max="3" width="15.42578125" customWidth="1"/>
    <col min="5" max="5" width="19.28515625" customWidth="1"/>
    <col min="6" max="6" width="15" customWidth="1"/>
  </cols>
  <sheetData>
    <row r="1" spans="1:6" ht="15.75" thickBot="1" x14ac:dyDescent="0.3">
      <c r="A1" s="64" t="s">
        <v>35</v>
      </c>
      <c r="B1" s="65"/>
      <c r="C1" s="65"/>
      <c r="D1" s="65"/>
      <c r="E1" s="65"/>
      <c r="F1" s="66"/>
    </row>
    <row r="2" spans="1:6" x14ac:dyDescent="0.25">
      <c r="A2" s="4" t="s">
        <v>1</v>
      </c>
      <c r="B2" s="5" t="s">
        <v>2</v>
      </c>
      <c r="C2" s="6" t="s">
        <v>3</v>
      </c>
      <c r="D2" s="5" t="s">
        <v>4</v>
      </c>
      <c r="E2" s="5"/>
      <c r="F2" s="3"/>
    </row>
    <row r="3" spans="1:6" x14ac:dyDescent="0.25">
      <c r="A3" s="8" t="s">
        <v>5</v>
      </c>
      <c r="B3" s="9">
        <v>41996</v>
      </c>
      <c r="C3" s="10" t="s">
        <v>6</v>
      </c>
      <c r="D3" s="10" t="s">
        <v>7</v>
      </c>
      <c r="E3" s="10"/>
      <c r="F3" s="30"/>
    </row>
    <row r="4" spans="1:6" x14ac:dyDescent="0.25">
      <c r="A4" s="8" t="s">
        <v>8</v>
      </c>
      <c r="B4" s="12" t="s">
        <v>9</v>
      </c>
      <c r="C4" s="10" t="s">
        <v>10</v>
      </c>
      <c r="D4" s="10"/>
      <c r="E4" s="10"/>
      <c r="F4" s="30"/>
    </row>
    <row r="5" spans="1:6" x14ac:dyDescent="0.25">
      <c r="A5" s="8" t="s">
        <v>11</v>
      </c>
      <c r="B5" s="13">
        <v>833837.5</v>
      </c>
      <c r="C5" s="10" t="s">
        <v>12</v>
      </c>
      <c r="D5" s="10" t="s">
        <v>13</v>
      </c>
      <c r="E5" s="10"/>
      <c r="F5" s="30"/>
    </row>
    <row r="6" spans="1:6" ht="15.75" thickBot="1" x14ac:dyDescent="0.3">
      <c r="A6" s="14"/>
      <c r="B6" s="15"/>
      <c r="C6" s="16" t="s">
        <v>14</v>
      </c>
      <c r="D6" s="12"/>
      <c r="E6" s="12"/>
      <c r="F6" s="31"/>
    </row>
    <row r="7" spans="1:6" x14ac:dyDescent="0.25">
      <c r="A7" s="18" t="s">
        <v>15</v>
      </c>
      <c r="B7" s="19" t="s">
        <v>16</v>
      </c>
      <c r="C7" s="19" t="s">
        <v>17</v>
      </c>
      <c r="D7" s="19" t="s">
        <v>36</v>
      </c>
      <c r="E7" s="39" t="s">
        <v>55</v>
      </c>
      <c r="F7" s="32" t="s">
        <v>37</v>
      </c>
    </row>
    <row r="8" spans="1:6" ht="24" customHeight="1" x14ac:dyDescent="0.25">
      <c r="A8" s="22">
        <v>43008</v>
      </c>
      <c r="B8" s="23" t="s">
        <v>38</v>
      </c>
      <c r="C8" s="23" t="s">
        <v>39</v>
      </c>
      <c r="D8" s="33">
        <v>1050</v>
      </c>
      <c r="E8" s="40" t="s">
        <v>56</v>
      </c>
      <c r="F8" s="34"/>
    </row>
    <row r="9" spans="1:6" ht="24" customHeight="1" x14ac:dyDescent="0.25">
      <c r="A9" s="22">
        <v>43008</v>
      </c>
      <c r="B9" s="23" t="s">
        <v>40</v>
      </c>
      <c r="C9" s="23" t="s">
        <v>41</v>
      </c>
      <c r="D9" s="33">
        <v>900</v>
      </c>
      <c r="E9" s="37"/>
      <c r="F9" s="34"/>
    </row>
    <row r="10" spans="1:6" ht="24" customHeight="1" x14ac:dyDescent="0.25">
      <c r="A10" s="22">
        <v>43008</v>
      </c>
      <c r="B10" s="23" t="s">
        <v>42</v>
      </c>
      <c r="C10" s="23" t="s">
        <v>43</v>
      </c>
      <c r="D10" s="33">
        <v>30000</v>
      </c>
      <c r="E10" s="37"/>
      <c r="F10" s="34"/>
    </row>
    <row r="11" spans="1:6" ht="24" customHeight="1" x14ac:dyDescent="0.25">
      <c r="A11" s="22">
        <v>43008</v>
      </c>
      <c r="B11" s="23" t="s">
        <v>44</v>
      </c>
      <c r="C11" s="23" t="s">
        <v>45</v>
      </c>
      <c r="D11" s="33">
        <v>25000</v>
      </c>
      <c r="E11" s="37"/>
      <c r="F11" s="34"/>
    </row>
    <row r="12" spans="1:6" ht="24" customHeight="1" x14ac:dyDescent="0.25">
      <c r="A12" s="22">
        <v>43008</v>
      </c>
      <c r="B12" s="23" t="s">
        <v>46</v>
      </c>
      <c r="C12" s="23" t="s">
        <v>47</v>
      </c>
      <c r="D12" s="33">
        <v>10000</v>
      </c>
      <c r="E12" s="37"/>
      <c r="F12" s="34"/>
    </row>
    <row r="13" spans="1:6" ht="24" customHeight="1" x14ac:dyDescent="0.25">
      <c r="A13" s="22">
        <v>43008</v>
      </c>
      <c r="B13" s="23" t="s">
        <v>48</v>
      </c>
      <c r="C13" s="23" t="s">
        <v>49</v>
      </c>
      <c r="D13" s="33">
        <v>10000</v>
      </c>
      <c r="E13" s="37"/>
      <c r="F13" s="34"/>
    </row>
    <row r="14" spans="1:6" ht="24" customHeight="1" x14ac:dyDescent="0.25">
      <c r="A14" s="22">
        <v>43008</v>
      </c>
      <c r="B14" s="23" t="s">
        <v>50</v>
      </c>
      <c r="C14" s="23" t="s">
        <v>41</v>
      </c>
      <c r="D14" s="33">
        <v>400</v>
      </c>
      <c r="E14" s="37"/>
      <c r="F14" s="34"/>
    </row>
    <row r="15" spans="1:6" ht="24" customHeight="1" x14ac:dyDescent="0.25">
      <c r="A15" s="22">
        <v>43008</v>
      </c>
      <c r="B15" s="23" t="s">
        <v>51</v>
      </c>
      <c r="C15" s="23" t="s">
        <v>49</v>
      </c>
      <c r="D15" s="33">
        <v>68000</v>
      </c>
      <c r="E15" s="37"/>
      <c r="F15" s="34"/>
    </row>
    <row r="16" spans="1:6" ht="24" customHeight="1" x14ac:dyDescent="0.25">
      <c r="A16" s="22">
        <v>43008</v>
      </c>
      <c r="B16" s="23" t="s">
        <v>52</v>
      </c>
      <c r="C16" s="23" t="s">
        <v>41</v>
      </c>
      <c r="D16" s="33">
        <v>900</v>
      </c>
      <c r="E16" s="37"/>
      <c r="F16" s="34"/>
    </row>
    <row r="17" spans="1:6" ht="24" customHeight="1" thickBot="1" x14ac:dyDescent="0.3">
      <c r="A17" s="22">
        <v>43158</v>
      </c>
      <c r="B17" s="23" t="s">
        <v>53</v>
      </c>
      <c r="C17" s="23" t="s">
        <v>41</v>
      </c>
      <c r="D17" s="33">
        <v>1125</v>
      </c>
      <c r="E17" s="37"/>
      <c r="F17" s="34"/>
    </row>
    <row r="18" spans="1:6" ht="12.95" customHeight="1" thickBot="1" x14ac:dyDescent="0.3">
      <c r="A18" s="61" t="s">
        <v>54</v>
      </c>
      <c r="B18" s="62"/>
      <c r="C18" s="62"/>
      <c r="D18" s="35">
        <v>147375</v>
      </c>
      <c r="E18" s="38"/>
      <c r="F18" s="36"/>
    </row>
    <row r="23" spans="1:6" x14ac:dyDescent="0.25">
      <c r="C23" t="s">
        <v>104</v>
      </c>
    </row>
  </sheetData>
  <mergeCells count="2">
    <mergeCell ref="A1:F1"/>
    <mergeCell ref="A18:C18"/>
  </mergeCells>
  <pageMargins left="0.36" right="0.25" top="0.75" bottom="0.75" header="0.3" footer="0.3"/>
  <pageSetup paperSize="9"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G24"/>
  <sheetViews>
    <sheetView workbookViewId="0">
      <selection activeCell="C24" sqref="C24"/>
    </sheetView>
  </sheetViews>
  <sheetFormatPr defaultRowHeight="15" x14ac:dyDescent="0.25"/>
  <cols>
    <col min="3" max="3" width="63" customWidth="1"/>
    <col min="4" max="4" width="13.28515625" customWidth="1"/>
    <col min="5" max="5" width="10.42578125" customWidth="1"/>
    <col min="6" max="6" width="8.7109375" customWidth="1"/>
    <col min="7" max="7" width="10.42578125" customWidth="1"/>
  </cols>
  <sheetData>
    <row r="1" spans="2:7" ht="15.75" thickBot="1" x14ac:dyDescent="0.3">
      <c r="B1" s="67"/>
      <c r="C1" s="67"/>
      <c r="D1" s="67"/>
      <c r="E1" s="67"/>
      <c r="F1" s="67"/>
      <c r="G1" s="67"/>
    </row>
    <row r="2" spans="2:7" ht="15.75" thickBot="1" x14ac:dyDescent="0.3">
      <c r="B2" s="61" t="s">
        <v>57</v>
      </c>
      <c r="C2" s="62"/>
      <c r="D2" s="62"/>
      <c r="E2" s="62"/>
      <c r="F2" s="62"/>
      <c r="G2" s="63"/>
    </row>
    <row r="3" spans="2:7" x14ac:dyDescent="0.25">
      <c r="B3" s="4" t="s">
        <v>1</v>
      </c>
      <c r="C3" s="5" t="s">
        <v>2</v>
      </c>
      <c r="D3" s="6" t="s">
        <v>3</v>
      </c>
      <c r="E3" s="5" t="s">
        <v>4</v>
      </c>
      <c r="F3" s="6"/>
      <c r="G3" s="3"/>
    </row>
    <row r="4" spans="2:7" x14ac:dyDescent="0.25">
      <c r="B4" s="8" t="s">
        <v>5</v>
      </c>
      <c r="C4" s="9">
        <v>41996</v>
      </c>
      <c r="D4" s="10" t="s">
        <v>6</v>
      </c>
      <c r="E4" s="10" t="s">
        <v>7</v>
      </c>
      <c r="F4" s="10"/>
      <c r="G4" s="30"/>
    </row>
    <row r="5" spans="2:7" x14ac:dyDescent="0.25">
      <c r="B5" s="8" t="s">
        <v>8</v>
      </c>
      <c r="C5" s="12" t="s">
        <v>9</v>
      </c>
      <c r="D5" s="10" t="s">
        <v>10</v>
      </c>
      <c r="E5" s="10"/>
      <c r="F5" s="10"/>
      <c r="G5" s="30"/>
    </row>
    <row r="6" spans="2:7" x14ac:dyDescent="0.25">
      <c r="B6" s="8" t="s">
        <v>11</v>
      </c>
      <c r="C6" s="13">
        <v>833837.5</v>
      </c>
      <c r="D6" s="10" t="s">
        <v>12</v>
      </c>
      <c r="E6" s="10" t="s">
        <v>13</v>
      </c>
      <c r="F6" s="10"/>
      <c r="G6" s="30"/>
    </row>
    <row r="7" spans="2:7" ht="15.75" thickBot="1" x14ac:dyDescent="0.3">
      <c r="B7" s="14"/>
      <c r="C7" s="15"/>
      <c r="D7" s="16" t="s">
        <v>14</v>
      </c>
      <c r="E7" s="12"/>
      <c r="F7" s="16"/>
      <c r="G7" s="31"/>
    </row>
    <row r="8" spans="2:7" ht="15.75" thickBot="1" x14ac:dyDescent="0.3">
      <c r="B8" s="41" t="s">
        <v>15</v>
      </c>
      <c r="C8" s="42" t="s">
        <v>16</v>
      </c>
      <c r="D8" s="42" t="s">
        <v>17</v>
      </c>
      <c r="E8" s="42" t="s">
        <v>36</v>
      </c>
      <c r="F8" s="43" t="s">
        <v>58</v>
      </c>
      <c r="G8" s="36" t="s">
        <v>61</v>
      </c>
    </row>
    <row r="9" spans="2:7" x14ac:dyDescent="0.25">
      <c r="B9" s="44">
        <v>41996</v>
      </c>
      <c r="C9" s="45" t="s">
        <v>11</v>
      </c>
      <c r="D9" s="45" t="s">
        <v>58</v>
      </c>
      <c r="E9" s="33">
        <v>833837.5</v>
      </c>
      <c r="F9" s="46"/>
      <c r="G9" s="33">
        <v>833837.5</v>
      </c>
    </row>
    <row r="10" spans="2:7" ht="30" customHeight="1" x14ac:dyDescent="0.25">
      <c r="B10" s="22">
        <v>43008</v>
      </c>
      <c r="C10" s="23" t="s">
        <v>38</v>
      </c>
      <c r="D10" s="23" t="s">
        <v>39</v>
      </c>
      <c r="E10" s="33">
        <v>1050</v>
      </c>
      <c r="F10" s="33"/>
      <c r="G10" s="34">
        <f>G9+E10</f>
        <v>834887.5</v>
      </c>
    </row>
    <row r="11" spans="2:7" ht="30" customHeight="1" x14ac:dyDescent="0.25">
      <c r="B11" s="22">
        <v>43008</v>
      </c>
      <c r="C11" s="23" t="s">
        <v>40</v>
      </c>
      <c r="D11" s="23" t="s">
        <v>41</v>
      </c>
      <c r="E11" s="33">
        <v>900</v>
      </c>
      <c r="F11" s="33"/>
      <c r="G11" s="34">
        <f t="shared" ref="G11:G20" si="0">G10+E11</f>
        <v>835787.5</v>
      </c>
    </row>
    <row r="12" spans="2:7" ht="30" customHeight="1" x14ac:dyDescent="0.25">
      <c r="B12" s="22">
        <v>43008</v>
      </c>
      <c r="C12" s="23" t="s">
        <v>42</v>
      </c>
      <c r="D12" s="23" t="s">
        <v>43</v>
      </c>
      <c r="E12" s="33">
        <v>30000</v>
      </c>
      <c r="F12" s="33"/>
      <c r="G12" s="34">
        <f t="shared" si="0"/>
        <v>865787.5</v>
      </c>
    </row>
    <row r="13" spans="2:7" ht="30" customHeight="1" x14ac:dyDescent="0.25">
      <c r="B13" s="22">
        <v>43008</v>
      </c>
      <c r="C13" s="23" t="s">
        <v>44</v>
      </c>
      <c r="D13" s="23" t="s">
        <v>45</v>
      </c>
      <c r="E13" s="33">
        <v>25000</v>
      </c>
      <c r="F13" s="33"/>
      <c r="G13" s="34">
        <f t="shared" si="0"/>
        <v>890787.5</v>
      </c>
    </row>
    <row r="14" spans="2:7" ht="30" customHeight="1" x14ac:dyDescent="0.25">
      <c r="B14" s="22">
        <v>43008</v>
      </c>
      <c r="C14" s="23" t="s">
        <v>59</v>
      </c>
      <c r="D14" s="23" t="s">
        <v>58</v>
      </c>
      <c r="E14" s="33"/>
      <c r="F14" s="33">
        <v>10000</v>
      </c>
      <c r="G14" s="34">
        <f>G13-F14</f>
        <v>880787.5</v>
      </c>
    </row>
    <row r="15" spans="2:7" ht="30" customHeight="1" x14ac:dyDescent="0.25">
      <c r="B15" s="22">
        <v>43008</v>
      </c>
      <c r="C15" s="23" t="s">
        <v>46</v>
      </c>
      <c r="D15" s="23" t="s">
        <v>47</v>
      </c>
      <c r="E15" s="33">
        <v>10000</v>
      </c>
      <c r="F15" s="33"/>
      <c r="G15" s="34">
        <f t="shared" si="0"/>
        <v>890787.5</v>
      </c>
    </row>
    <row r="16" spans="2:7" ht="30" customHeight="1" x14ac:dyDescent="0.25">
      <c r="B16" s="22">
        <v>43008</v>
      </c>
      <c r="C16" s="23" t="s">
        <v>48</v>
      </c>
      <c r="D16" s="23" t="s">
        <v>49</v>
      </c>
      <c r="E16" s="33">
        <v>10000</v>
      </c>
      <c r="F16" s="33"/>
      <c r="G16" s="34">
        <f t="shared" si="0"/>
        <v>900787.5</v>
      </c>
    </row>
    <row r="17" spans="2:7" ht="30" customHeight="1" x14ac:dyDescent="0.25">
      <c r="B17" s="22">
        <v>43008</v>
      </c>
      <c r="C17" s="23" t="s">
        <v>50</v>
      </c>
      <c r="D17" s="23" t="s">
        <v>41</v>
      </c>
      <c r="E17" s="33">
        <v>400</v>
      </c>
      <c r="F17" s="33"/>
      <c r="G17" s="34">
        <f t="shared" si="0"/>
        <v>901187.5</v>
      </c>
    </row>
    <row r="18" spans="2:7" ht="30" customHeight="1" x14ac:dyDescent="0.25">
      <c r="B18" s="22">
        <v>43008</v>
      </c>
      <c r="C18" s="23" t="s">
        <v>51</v>
      </c>
      <c r="D18" s="23" t="s">
        <v>49</v>
      </c>
      <c r="E18" s="33">
        <v>68000</v>
      </c>
      <c r="F18" s="33"/>
      <c r="G18" s="34">
        <f t="shared" si="0"/>
        <v>969187.5</v>
      </c>
    </row>
    <row r="19" spans="2:7" ht="30" customHeight="1" x14ac:dyDescent="0.25">
      <c r="B19" s="22">
        <v>43008</v>
      </c>
      <c r="C19" s="23" t="s">
        <v>52</v>
      </c>
      <c r="D19" s="23" t="s">
        <v>41</v>
      </c>
      <c r="E19" s="33">
        <v>900</v>
      </c>
      <c r="F19" s="33"/>
      <c r="G19" s="34">
        <f t="shared" si="0"/>
        <v>970087.5</v>
      </c>
    </row>
    <row r="20" spans="2:7" ht="30" customHeight="1" thickBot="1" x14ac:dyDescent="0.3">
      <c r="B20" s="22">
        <v>43158</v>
      </c>
      <c r="C20" s="23" t="s">
        <v>53</v>
      </c>
      <c r="D20" s="23" t="s">
        <v>41</v>
      </c>
      <c r="E20" s="33">
        <v>1125</v>
      </c>
      <c r="F20" s="33"/>
      <c r="G20" s="34">
        <f t="shared" si="0"/>
        <v>971212.5</v>
      </c>
    </row>
    <row r="21" spans="2:7" ht="15.75" thickBot="1" x14ac:dyDescent="0.3">
      <c r="B21" s="61" t="s">
        <v>54</v>
      </c>
      <c r="C21" s="62"/>
      <c r="D21" s="62"/>
      <c r="E21" s="42">
        <f>SUM(E9:E20)</f>
        <v>981212.5</v>
      </c>
      <c r="F21" s="42">
        <f>SUM(F9:F20)</f>
        <v>10000</v>
      </c>
      <c r="G21" s="36">
        <f>E21-F21</f>
        <v>971212.5</v>
      </c>
    </row>
    <row r="24" spans="2:7" x14ac:dyDescent="0.25">
      <c r="C24" t="s">
        <v>104</v>
      </c>
    </row>
  </sheetData>
  <autoFilter ref="B8:G21"/>
  <mergeCells count="3">
    <mergeCell ref="B1:G1"/>
    <mergeCell ref="B2:G2"/>
    <mergeCell ref="B21:D21"/>
  </mergeCells>
  <pageMargins left="0.2" right="0.2" top="0.75" bottom="0.75" header="0.3" footer="0.3"/>
  <pageSetup paperSize="9" scale="8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H37"/>
  <sheetViews>
    <sheetView topLeftCell="A16" workbookViewId="0">
      <selection activeCell="C36" sqref="C36"/>
    </sheetView>
  </sheetViews>
  <sheetFormatPr defaultRowHeight="15" x14ac:dyDescent="0.25"/>
  <cols>
    <col min="2" max="2" width="12.140625" customWidth="1"/>
    <col min="3" max="3" width="80.7109375" customWidth="1"/>
    <col min="4" max="6" width="14.7109375" customWidth="1"/>
    <col min="7" max="7" width="23.140625" customWidth="1"/>
    <col min="8" max="8" width="22.28515625" customWidth="1"/>
  </cols>
  <sheetData>
    <row r="2" spans="2:8" ht="15.75" thickBot="1" x14ac:dyDescent="0.3"/>
    <row r="3" spans="2:8" ht="15.75" thickBot="1" x14ac:dyDescent="0.3">
      <c r="B3" s="1" t="s">
        <v>60</v>
      </c>
      <c r="C3" s="2"/>
      <c r="D3" s="2"/>
      <c r="E3" s="2"/>
      <c r="F3" s="2"/>
      <c r="G3" s="2"/>
      <c r="H3" s="3"/>
    </row>
    <row r="4" spans="2:8" ht="15.75" thickBot="1" x14ac:dyDescent="0.3">
      <c r="B4" s="61" t="s">
        <v>0</v>
      </c>
      <c r="C4" s="62"/>
      <c r="D4" s="62"/>
      <c r="E4" s="62"/>
      <c r="F4" s="62"/>
      <c r="G4" s="62"/>
      <c r="H4" s="63"/>
    </row>
    <row r="5" spans="2:8" ht="12.95" customHeight="1" x14ac:dyDescent="0.25">
      <c r="B5" s="4" t="s">
        <v>1</v>
      </c>
      <c r="C5" s="5" t="s">
        <v>2</v>
      </c>
      <c r="D5" s="6" t="s">
        <v>3</v>
      </c>
      <c r="E5" s="6"/>
      <c r="F5" s="6"/>
      <c r="G5" s="6"/>
      <c r="H5" s="7" t="s">
        <v>4</v>
      </c>
    </row>
    <row r="6" spans="2:8" ht="12.95" customHeight="1" x14ac:dyDescent="0.25">
      <c r="B6" s="8" t="s">
        <v>5</v>
      </c>
      <c r="C6" s="9">
        <v>41996</v>
      </c>
      <c r="D6" s="10" t="s">
        <v>6</v>
      </c>
      <c r="E6" s="10"/>
      <c r="F6" s="10"/>
      <c r="G6" s="10"/>
      <c r="H6" s="11" t="s">
        <v>7</v>
      </c>
    </row>
    <row r="7" spans="2:8" ht="12.95" customHeight="1" x14ac:dyDescent="0.25">
      <c r="B7" s="8" t="s">
        <v>8</v>
      </c>
      <c r="C7" s="12" t="s">
        <v>9</v>
      </c>
      <c r="D7" s="10" t="s">
        <v>10</v>
      </c>
      <c r="E7" s="10"/>
      <c r="F7" s="10"/>
      <c r="G7" s="10"/>
      <c r="H7" s="11"/>
    </row>
    <row r="8" spans="2:8" ht="12.95" customHeight="1" x14ac:dyDescent="0.25">
      <c r="B8" s="8" t="s">
        <v>11</v>
      </c>
      <c r="C8" s="13">
        <v>833837.5</v>
      </c>
      <c r="D8" s="10" t="s">
        <v>12</v>
      </c>
      <c r="E8" s="10"/>
      <c r="F8" s="10"/>
      <c r="G8" s="10"/>
      <c r="H8" s="11" t="s">
        <v>13</v>
      </c>
    </row>
    <row r="9" spans="2:8" ht="12.95" customHeight="1" thickBot="1" x14ac:dyDescent="0.3">
      <c r="B9" s="14"/>
      <c r="C9" s="15"/>
      <c r="D9" s="16" t="s">
        <v>14</v>
      </c>
      <c r="E9" s="10"/>
      <c r="F9" s="10"/>
      <c r="G9" s="10"/>
      <c r="H9" s="17"/>
    </row>
    <row r="10" spans="2:8" ht="12.95" customHeight="1" thickBot="1" x14ac:dyDescent="0.3">
      <c r="B10" s="18" t="s">
        <v>15</v>
      </c>
      <c r="C10" s="19" t="s">
        <v>16</v>
      </c>
      <c r="D10" s="20" t="s">
        <v>17</v>
      </c>
      <c r="E10" s="2" t="s">
        <v>62</v>
      </c>
      <c r="F10" s="2" t="s">
        <v>58</v>
      </c>
      <c r="G10" s="2" t="s">
        <v>18</v>
      </c>
      <c r="H10" s="21" t="s">
        <v>19</v>
      </c>
    </row>
    <row r="11" spans="2:8" ht="21.75" customHeight="1" x14ac:dyDescent="0.25">
      <c r="B11" s="22">
        <v>43008</v>
      </c>
      <c r="C11" s="23" t="s">
        <v>20</v>
      </c>
      <c r="D11" s="23" t="s">
        <v>21</v>
      </c>
      <c r="E11" s="24"/>
      <c r="F11" s="24"/>
      <c r="G11" s="24" t="s">
        <v>90</v>
      </c>
      <c r="H11" s="25"/>
    </row>
    <row r="12" spans="2:8" ht="21.75" customHeight="1" x14ac:dyDescent="0.25">
      <c r="B12" s="22">
        <v>43008</v>
      </c>
      <c r="C12" s="23" t="s">
        <v>22</v>
      </c>
      <c r="D12" s="23" t="s">
        <v>23</v>
      </c>
      <c r="E12" s="24"/>
      <c r="F12" s="24"/>
      <c r="G12" s="24" t="s">
        <v>94</v>
      </c>
      <c r="H12" s="25"/>
    </row>
    <row r="13" spans="2:8" ht="21.75" customHeight="1" x14ac:dyDescent="0.25">
      <c r="B13" s="22">
        <v>43008</v>
      </c>
      <c r="C13" s="23" t="s">
        <v>24</v>
      </c>
      <c r="D13" s="23" t="s">
        <v>25</v>
      </c>
      <c r="E13" s="24"/>
      <c r="F13" s="24"/>
      <c r="G13" s="24" t="s">
        <v>94</v>
      </c>
      <c r="H13" s="25"/>
    </row>
    <row r="14" spans="2:8" ht="21.75" customHeight="1" x14ac:dyDescent="0.25">
      <c r="B14" s="22">
        <v>43008</v>
      </c>
      <c r="C14" s="23" t="s">
        <v>26</v>
      </c>
      <c r="D14" s="23" t="s">
        <v>25</v>
      </c>
      <c r="E14" s="24"/>
      <c r="F14" s="24"/>
      <c r="G14" s="24" t="s">
        <v>94</v>
      </c>
      <c r="H14" s="25"/>
    </row>
    <row r="15" spans="2:8" ht="21.75" customHeight="1" x14ac:dyDescent="0.25">
      <c r="B15" s="22">
        <v>43858</v>
      </c>
      <c r="C15" s="23" t="s">
        <v>27</v>
      </c>
      <c r="D15" s="23" t="s">
        <v>25</v>
      </c>
      <c r="E15" s="24"/>
      <c r="F15" s="24"/>
      <c r="G15" s="24" t="s">
        <v>94</v>
      </c>
      <c r="H15" s="25"/>
    </row>
    <row r="16" spans="2:8" ht="21.75" customHeight="1" x14ac:dyDescent="0.25">
      <c r="B16" s="22">
        <v>43214</v>
      </c>
      <c r="C16" s="23" t="s">
        <v>28</v>
      </c>
      <c r="D16" s="23" t="s">
        <v>25</v>
      </c>
      <c r="E16" s="24"/>
      <c r="F16" s="24"/>
      <c r="G16" s="24" t="s">
        <v>94</v>
      </c>
      <c r="H16" s="25"/>
    </row>
    <row r="17" spans="2:8" ht="21.75" customHeight="1" x14ac:dyDescent="0.25">
      <c r="B17" s="22">
        <v>43152</v>
      </c>
      <c r="C17" s="23" t="s">
        <v>29</v>
      </c>
      <c r="D17" s="23" t="s">
        <v>25</v>
      </c>
      <c r="E17" s="24"/>
      <c r="F17" s="24"/>
      <c r="G17" s="24" t="s">
        <v>94</v>
      </c>
      <c r="H17" s="25"/>
    </row>
    <row r="18" spans="2:8" ht="21.75" customHeight="1" x14ac:dyDescent="0.25">
      <c r="B18" s="22">
        <v>43358</v>
      </c>
      <c r="C18" s="23" t="s">
        <v>30</v>
      </c>
      <c r="D18" s="23" t="s">
        <v>25</v>
      </c>
      <c r="E18" s="24"/>
      <c r="F18" s="24"/>
      <c r="G18" s="24" t="s">
        <v>94</v>
      </c>
      <c r="H18" s="25"/>
    </row>
    <row r="19" spans="2:8" ht="24.75" customHeight="1" x14ac:dyDescent="0.25">
      <c r="B19" s="22">
        <v>43295</v>
      </c>
      <c r="C19" s="23" t="s">
        <v>31</v>
      </c>
      <c r="D19" s="23" t="s">
        <v>25</v>
      </c>
      <c r="E19" s="24"/>
      <c r="F19" s="24"/>
      <c r="G19" s="24" t="s">
        <v>94</v>
      </c>
      <c r="H19" s="25"/>
    </row>
    <row r="20" spans="2:8" ht="27.75" customHeight="1" x14ac:dyDescent="0.25">
      <c r="B20" s="22">
        <v>43295</v>
      </c>
      <c r="C20" s="23" t="s">
        <v>32</v>
      </c>
      <c r="D20" s="23" t="s">
        <v>25</v>
      </c>
      <c r="E20" s="24"/>
      <c r="F20" s="24"/>
      <c r="G20" s="24" t="s">
        <v>94</v>
      </c>
      <c r="H20" s="25"/>
    </row>
    <row r="21" spans="2:8" ht="27.75" customHeight="1" x14ac:dyDescent="0.25">
      <c r="B21" s="22">
        <v>43293</v>
      </c>
      <c r="C21" s="23" t="s">
        <v>33</v>
      </c>
      <c r="D21" s="23" t="s">
        <v>25</v>
      </c>
      <c r="E21" s="24"/>
      <c r="F21" s="24"/>
      <c r="G21" s="24" t="s">
        <v>94</v>
      </c>
      <c r="H21" s="25"/>
    </row>
    <row r="22" spans="2:8" ht="21.75" customHeight="1" x14ac:dyDescent="0.25">
      <c r="B22" s="22">
        <v>43137</v>
      </c>
      <c r="C22" s="23" t="s">
        <v>34</v>
      </c>
      <c r="D22" s="23" t="s">
        <v>25</v>
      </c>
      <c r="E22" s="24"/>
      <c r="F22" s="24"/>
      <c r="G22" s="24" t="s">
        <v>98</v>
      </c>
      <c r="H22" s="25"/>
    </row>
    <row r="23" spans="2:8" ht="24" customHeight="1" x14ac:dyDescent="0.25">
      <c r="B23" s="22">
        <v>43008</v>
      </c>
      <c r="C23" s="23" t="s">
        <v>38</v>
      </c>
      <c r="D23" s="23" t="s">
        <v>39</v>
      </c>
      <c r="E23" s="24">
        <v>1050</v>
      </c>
      <c r="F23" s="24"/>
      <c r="G23" s="24" t="s">
        <v>94</v>
      </c>
      <c r="H23" s="25"/>
    </row>
    <row r="24" spans="2:8" ht="24" customHeight="1" x14ac:dyDescent="0.25">
      <c r="B24" s="22">
        <v>43008</v>
      </c>
      <c r="C24" s="23" t="s">
        <v>40</v>
      </c>
      <c r="D24" s="23" t="s">
        <v>41</v>
      </c>
      <c r="E24" s="24">
        <v>900</v>
      </c>
      <c r="F24" s="24"/>
      <c r="G24" s="24" t="s">
        <v>98</v>
      </c>
      <c r="H24" s="25"/>
    </row>
    <row r="25" spans="2:8" ht="24" customHeight="1" x14ac:dyDescent="0.25">
      <c r="B25" s="22">
        <v>43008</v>
      </c>
      <c r="C25" s="23" t="s">
        <v>42</v>
      </c>
      <c r="D25" s="23" t="s">
        <v>43</v>
      </c>
      <c r="E25" s="24">
        <v>30000</v>
      </c>
      <c r="F25" s="24"/>
      <c r="G25" s="24" t="s">
        <v>98</v>
      </c>
      <c r="H25" s="25"/>
    </row>
    <row r="26" spans="2:8" ht="24" customHeight="1" x14ac:dyDescent="0.25">
      <c r="B26" s="22">
        <v>43008</v>
      </c>
      <c r="C26" s="23" t="s">
        <v>44</v>
      </c>
      <c r="D26" s="23" t="s">
        <v>45</v>
      </c>
      <c r="E26" s="24">
        <v>25000</v>
      </c>
      <c r="F26" s="24"/>
      <c r="G26" s="24" t="s">
        <v>98</v>
      </c>
      <c r="H26" s="25"/>
    </row>
    <row r="27" spans="2:8" ht="24" customHeight="1" x14ac:dyDescent="0.25">
      <c r="B27" s="22">
        <v>43008</v>
      </c>
      <c r="C27" s="23" t="s">
        <v>46</v>
      </c>
      <c r="D27" s="23" t="s">
        <v>47</v>
      </c>
      <c r="E27" s="24">
        <v>10000</v>
      </c>
      <c r="F27" s="24"/>
      <c r="G27" s="24" t="s">
        <v>98</v>
      </c>
      <c r="H27" s="25"/>
    </row>
    <row r="28" spans="2:8" ht="24" customHeight="1" x14ac:dyDescent="0.25">
      <c r="B28" s="22">
        <v>43008</v>
      </c>
      <c r="C28" s="23" t="s">
        <v>48</v>
      </c>
      <c r="D28" s="23" t="s">
        <v>49</v>
      </c>
      <c r="E28" s="24">
        <v>10000</v>
      </c>
      <c r="F28" s="24"/>
      <c r="G28" s="24" t="s">
        <v>98</v>
      </c>
      <c r="H28" s="25"/>
    </row>
    <row r="29" spans="2:8" ht="24" customHeight="1" x14ac:dyDescent="0.25">
      <c r="B29" s="22">
        <v>43008</v>
      </c>
      <c r="C29" s="23" t="s">
        <v>50</v>
      </c>
      <c r="D29" s="23" t="s">
        <v>41</v>
      </c>
      <c r="E29" s="24">
        <v>400</v>
      </c>
      <c r="F29" s="24"/>
      <c r="G29" s="24" t="s">
        <v>98</v>
      </c>
      <c r="H29" s="25"/>
    </row>
    <row r="30" spans="2:8" ht="24" customHeight="1" x14ac:dyDescent="0.25">
      <c r="B30" s="22">
        <v>43008</v>
      </c>
      <c r="C30" s="23" t="s">
        <v>51</v>
      </c>
      <c r="D30" s="23" t="s">
        <v>49</v>
      </c>
      <c r="E30" s="24">
        <v>68000</v>
      </c>
      <c r="F30" s="24"/>
      <c r="G30" s="24" t="s">
        <v>98</v>
      </c>
      <c r="H30" s="25"/>
    </row>
    <row r="31" spans="2:8" ht="24" customHeight="1" x14ac:dyDescent="0.25">
      <c r="B31" s="22">
        <v>43008</v>
      </c>
      <c r="C31" s="23" t="s">
        <v>52</v>
      </c>
      <c r="D31" s="23" t="s">
        <v>41</v>
      </c>
      <c r="E31" s="24">
        <v>900</v>
      </c>
      <c r="F31" s="24"/>
      <c r="G31" s="24" t="s">
        <v>98</v>
      </c>
      <c r="H31" s="25"/>
    </row>
    <row r="32" spans="2:8" ht="24" customHeight="1" x14ac:dyDescent="0.25">
      <c r="B32" s="22">
        <v>43158</v>
      </c>
      <c r="C32" s="23" t="s">
        <v>53</v>
      </c>
      <c r="D32" s="23" t="s">
        <v>41</v>
      </c>
      <c r="E32" s="24">
        <v>1125</v>
      </c>
      <c r="F32" s="24"/>
      <c r="G32" s="24" t="s">
        <v>94</v>
      </c>
      <c r="H32" s="25"/>
    </row>
    <row r="33" spans="3:3" ht="12.95" customHeight="1" x14ac:dyDescent="0.25"/>
    <row r="34" spans="3:3" ht="12.95" customHeight="1" x14ac:dyDescent="0.25"/>
    <row r="35" spans="3:3" ht="12.95" customHeight="1" x14ac:dyDescent="0.25">
      <c r="C35" s="60" t="s">
        <v>101</v>
      </c>
    </row>
    <row r="36" spans="3:3" ht="12.95" customHeight="1" x14ac:dyDescent="0.25">
      <c r="C36" t="s">
        <v>104</v>
      </c>
    </row>
    <row r="37" spans="3:3" ht="12.95" customHeight="1" x14ac:dyDescent="0.25"/>
  </sheetData>
  <mergeCells count="1">
    <mergeCell ref="B4:H4"/>
  </mergeCells>
  <pageMargins left="0.2" right="0.2" top="0.75" bottom="0.75" header="0.3" footer="0.3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K17"/>
  <sheetViews>
    <sheetView workbookViewId="0">
      <selection activeCell="D17" sqref="D17"/>
    </sheetView>
  </sheetViews>
  <sheetFormatPr defaultRowHeight="15" x14ac:dyDescent="0.25"/>
  <cols>
    <col min="1" max="1" width="6.140625" customWidth="1"/>
    <col min="2" max="2" width="45.5703125" customWidth="1"/>
    <col min="3" max="3" width="11.5703125" customWidth="1"/>
    <col min="4" max="4" width="19.140625" customWidth="1"/>
    <col min="5" max="5" width="14" customWidth="1"/>
    <col min="6" max="6" width="17.140625" customWidth="1"/>
    <col min="7" max="7" width="16.140625" customWidth="1"/>
    <col min="8" max="9" width="17.140625" customWidth="1"/>
    <col min="10" max="10" width="61" customWidth="1"/>
    <col min="11" max="11" width="25.5703125" customWidth="1"/>
  </cols>
  <sheetData>
    <row r="1" spans="1:11" ht="15.75" thickBot="1" x14ac:dyDescent="0.3">
      <c r="B1" s="47" t="s">
        <v>82</v>
      </c>
    </row>
    <row r="2" spans="1:11" ht="15.75" thickBot="1" x14ac:dyDescent="0.3">
      <c r="A2" s="68" t="s">
        <v>63</v>
      </c>
      <c r="B2" s="69"/>
      <c r="C2" s="69"/>
      <c r="D2" s="69"/>
      <c r="E2" s="69"/>
      <c r="F2" s="69"/>
      <c r="G2" s="69"/>
      <c r="H2" s="69"/>
      <c r="I2" s="69"/>
      <c r="J2" s="69"/>
      <c r="K2" s="70"/>
    </row>
    <row r="3" spans="1:11" ht="15.75" thickBot="1" x14ac:dyDescent="0.3">
      <c r="A3" s="48" t="s">
        <v>64</v>
      </c>
      <c r="B3" s="49" t="s">
        <v>1</v>
      </c>
      <c r="C3" s="49" t="s">
        <v>65</v>
      </c>
      <c r="D3" s="49" t="s">
        <v>66</v>
      </c>
      <c r="E3" s="49" t="s">
        <v>67</v>
      </c>
      <c r="F3" s="49" t="s">
        <v>59</v>
      </c>
      <c r="G3" s="49" t="s">
        <v>68</v>
      </c>
      <c r="H3" s="49" t="s">
        <v>62</v>
      </c>
      <c r="I3" s="49" t="s">
        <v>69</v>
      </c>
      <c r="J3" s="49" t="s">
        <v>70</v>
      </c>
      <c r="K3" s="50" t="s">
        <v>37</v>
      </c>
    </row>
    <row r="4" spans="1:11" ht="39.75" customHeight="1" thickBot="1" x14ac:dyDescent="0.3">
      <c r="A4" s="51">
        <v>1</v>
      </c>
      <c r="B4" s="52" t="s">
        <v>2</v>
      </c>
      <c r="C4" s="52" t="s">
        <v>73</v>
      </c>
      <c r="D4" s="52" t="s">
        <v>9</v>
      </c>
      <c r="E4" s="52" t="s">
        <v>71</v>
      </c>
      <c r="F4" s="53">
        <v>833837.5</v>
      </c>
      <c r="G4" s="54">
        <v>10000</v>
      </c>
      <c r="H4" s="54">
        <v>147375</v>
      </c>
      <c r="I4" s="54">
        <f t="shared" ref="I4:I13" si="0">F4-G4</f>
        <v>823837.5</v>
      </c>
      <c r="J4" s="52" t="s">
        <v>20</v>
      </c>
      <c r="K4" s="55"/>
    </row>
    <row r="5" spans="1:11" ht="39.75" customHeight="1" thickBot="1" x14ac:dyDescent="0.3">
      <c r="A5" s="51">
        <v>2</v>
      </c>
      <c r="B5" s="52" t="s">
        <v>72</v>
      </c>
      <c r="C5" s="52" t="s">
        <v>73</v>
      </c>
      <c r="D5" s="52" t="s">
        <v>9</v>
      </c>
      <c r="E5" s="52" t="s">
        <v>71</v>
      </c>
      <c r="F5" s="56">
        <v>149677</v>
      </c>
      <c r="G5" s="54">
        <v>149677</v>
      </c>
      <c r="H5" s="54">
        <v>24024</v>
      </c>
      <c r="I5" s="54">
        <f t="shared" si="0"/>
        <v>0</v>
      </c>
      <c r="J5" s="52" t="s">
        <v>22</v>
      </c>
      <c r="K5" s="55"/>
    </row>
    <row r="6" spans="1:11" ht="39.75" customHeight="1" thickBot="1" x14ac:dyDescent="0.3">
      <c r="A6" s="51">
        <v>3</v>
      </c>
      <c r="B6" s="52" t="s">
        <v>74</v>
      </c>
      <c r="C6" s="52" t="s">
        <v>73</v>
      </c>
      <c r="D6" s="52" t="s">
        <v>9</v>
      </c>
      <c r="E6" s="52" t="s">
        <v>71</v>
      </c>
      <c r="F6" s="53">
        <v>26535</v>
      </c>
      <c r="G6" s="53">
        <v>26535</v>
      </c>
      <c r="H6" s="54">
        <v>12913</v>
      </c>
      <c r="I6" s="54">
        <f t="shared" si="0"/>
        <v>0</v>
      </c>
      <c r="J6" s="52" t="s">
        <v>24</v>
      </c>
      <c r="K6" s="55"/>
    </row>
    <row r="7" spans="1:11" ht="39.75" customHeight="1" thickBot="1" x14ac:dyDescent="0.3">
      <c r="A7" s="51">
        <v>4</v>
      </c>
      <c r="B7" s="52" t="s">
        <v>75</v>
      </c>
      <c r="C7" s="52" t="s">
        <v>73</v>
      </c>
      <c r="D7" s="52" t="s">
        <v>9</v>
      </c>
      <c r="E7" s="52" t="s">
        <v>71</v>
      </c>
      <c r="F7" s="56">
        <v>74677</v>
      </c>
      <c r="G7" s="53">
        <v>26535</v>
      </c>
      <c r="H7" s="54">
        <v>15524</v>
      </c>
      <c r="I7" s="54">
        <f t="shared" si="0"/>
        <v>48142</v>
      </c>
      <c r="J7" s="52" t="s">
        <v>26</v>
      </c>
      <c r="K7" s="55"/>
    </row>
    <row r="8" spans="1:11" ht="39.75" customHeight="1" thickBot="1" x14ac:dyDescent="0.3">
      <c r="A8" s="51">
        <v>5</v>
      </c>
      <c r="B8" s="52" t="s">
        <v>76</v>
      </c>
      <c r="C8" s="52" t="s">
        <v>73</v>
      </c>
      <c r="D8" s="52" t="s">
        <v>9</v>
      </c>
      <c r="E8" s="52" t="s">
        <v>71</v>
      </c>
      <c r="F8" s="53">
        <v>19865.5</v>
      </c>
      <c r="G8" s="54"/>
      <c r="H8" s="54">
        <v>7705</v>
      </c>
      <c r="I8" s="54">
        <f t="shared" si="0"/>
        <v>19865.5</v>
      </c>
      <c r="J8" s="52" t="s">
        <v>27</v>
      </c>
      <c r="K8" s="55"/>
    </row>
    <row r="9" spans="1:11" ht="39.75" customHeight="1" thickBot="1" x14ac:dyDescent="0.3">
      <c r="A9" s="51">
        <v>6</v>
      </c>
      <c r="B9" s="52" t="s">
        <v>77</v>
      </c>
      <c r="C9" s="52" t="s">
        <v>73</v>
      </c>
      <c r="D9" s="52" t="s">
        <v>9</v>
      </c>
      <c r="E9" s="52" t="s">
        <v>71</v>
      </c>
      <c r="F9" s="53">
        <v>537372.5</v>
      </c>
      <c r="G9" s="54"/>
      <c r="H9" s="54">
        <v>63803</v>
      </c>
      <c r="I9" s="54">
        <f t="shared" si="0"/>
        <v>537372.5</v>
      </c>
      <c r="J9" s="52" t="s">
        <v>28</v>
      </c>
      <c r="K9" s="55"/>
    </row>
    <row r="10" spans="1:11" ht="39.75" customHeight="1" thickBot="1" x14ac:dyDescent="0.3">
      <c r="A10" s="51">
        <v>7</v>
      </c>
      <c r="B10" s="52" t="s">
        <v>78</v>
      </c>
      <c r="C10" s="52" t="s">
        <v>73</v>
      </c>
      <c r="D10" s="52" t="s">
        <v>9</v>
      </c>
      <c r="E10" s="52" t="s">
        <v>71</v>
      </c>
      <c r="F10" s="53">
        <v>419838.45</v>
      </c>
      <c r="G10" s="54"/>
      <c r="H10" s="54">
        <v>32133</v>
      </c>
      <c r="I10" s="54">
        <f t="shared" si="0"/>
        <v>419838.45</v>
      </c>
      <c r="J10" s="52" t="s">
        <v>29</v>
      </c>
      <c r="K10" s="55"/>
    </row>
    <row r="11" spans="1:11" ht="39.75" customHeight="1" thickBot="1" x14ac:dyDescent="0.3">
      <c r="A11" s="51">
        <v>8</v>
      </c>
      <c r="B11" s="52" t="s">
        <v>79</v>
      </c>
      <c r="C11" s="52" t="s">
        <v>73</v>
      </c>
      <c r="D11" s="52" t="s">
        <v>9</v>
      </c>
      <c r="E11" s="52" t="s">
        <v>71</v>
      </c>
      <c r="F11" s="53">
        <v>756932</v>
      </c>
      <c r="G11" s="54"/>
      <c r="H11" s="54">
        <v>44181</v>
      </c>
      <c r="I11" s="54">
        <f t="shared" si="0"/>
        <v>756932</v>
      </c>
      <c r="J11" s="52" t="s">
        <v>30</v>
      </c>
      <c r="K11" s="55"/>
    </row>
    <row r="12" spans="1:11" ht="39.75" customHeight="1" thickBot="1" x14ac:dyDescent="0.3">
      <c r="A12" s="51">
        <v>9</v>
      </c>
      <c r="B12" s="52" t="s">
        <v>80</v>
      </c>
      <c r="C12" s="52" t="s">
        <v>73</v>
      </c>
      <c r="D12" s="52" t="s">
        <v>9</v>
      </c>
      <c r="E12" s="52" t="s">
        <v>71</v>
      </c>
      <c r="F12" s="53">
        <v>195415</v>
      </c>
      <c r="G12" s="54"/>
      <c r="H12" s="54">
        <v>51447</v>
      </c>
      <c r="I12" s="54">
        <f t="shared" si="0"/>
        <v>195415</v>
      </c>
      <c r="J12" s="52" t="s">
        <v>31</v>
      </c>
      <c r="K12" s="55"/>
    </row>
    <row r="13" spans="1:11" ht="39.75" customHeight="1" thickBot="1" x14ac:dyDescent="0.3">
      <c r="A13" s="51">
        <v>10</v>
      </c>
      <c r="B13" s="52" t="s">
        <v>81</v>
      </c>
      <c r="C13" s="52" t="s">
        <v>73</v>
      </c>
      <c r="D13" s="52" t="s">
        <v>9</v>
      </c>
      <c r="E13" s="52" t="s">
        <v>71</v>
      </c>
      <c r="F13" s="52">
        <v>6600</v>
      </c>
      <c r="G13" s="54"/>
      <c r="H13" s="54">
        <v>0</v>
      </c>
      <c r="I13" s="54">
        <f t="shared" si="0"/>
        <v>6600</v>
      </c>
      <c r="J13" s="52" t="s">
        <v>32</v>
      </c>
      <c r="K13" s="55"/>
    </row>
    <row r="14" spans="1:11" ht="15.75" thickBot="1" x14ac:dyDescent="0.3">
      <c r="A14" s="71" t="s">
        <v>54</v>
      </c>
      <c r="B14" s="72"/>
      <c r="C14" s="72"/>
      <c r="D14" s="57"/>
      <c r="E14" s="57"/>
      <c r="F14" s="58">
        <f>SUM(F4:F13)</f>
        <v>3020749.95</v>
      </c>
      <c r="G14" s="58">
        <f>SUM(G4:G13)</f>
        <v>212747</v>
      </c>
      <c r="H14" s="58">
        <f>SUM(H4:H13)</f>
        <v>399105</v>
      </c>
      <c r="I14" s="58">
        <f>SUM(I4:I13)</f>
        <v>2808002.95</v>
      </c>
      <c r="J14" s="58"/>
      <c r="K14" s="59"/>
    </row>
    <row r="17" spans="4:4" x14ac:dyDescent="0.25">
      <c r="D17" t="s">
        <v>104</v>
      </c>
    </row>
  </sheetData>
  <mergeCells count="2">
    <mergeCell ref="A2:K2"/>
    <mergeCell ref="A14:C14"/>
  </mergeCells>
  <pageMargins left="0.2" right="0.23" top="0.27" bottom="0.37" header="0.2" footer="0.3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K17"/>
  <sheetViews>
    <sheetView workbookViewId="0">
      <selection activeCell="D17" sqref="D17"/>
    </sheetView>
  </sheetViews>
  <sheetFormatPr defaultRowHeight="15" x14ac:dyDescent="0.25"/>
  <cols>
    <col min="1" max="1" width="6.140625" customWidth="1"/>
    <col min="2" max="2" width="45.5703125" customWidth="1"/>
    <col min="3" max="3" width="11.5703125" customWidth="1"/>
    <col min="4" max="4" width="19.140625" customWidth="1"/>
    <col min="5" max="5" width="14" customWidth="1"/>
    <col min="6" max="6" width="17.140625" customWidth="1"/>
    <col min="7" max="7" width="16.140625" customWidth="1"/>
    <col min="8" max="9" width="17.140625" customWidth="1"/>
    <col min="10" max="10" width="61" customWidth="1"/>
    <col min="11" max="11" width="25.5703125" customWidth="1"/>
  </cols>
  <sheetData>
    <row r="1" spans="1:11" ht="15.75" thickBot="1" x14ac:dyDescent="0.3">
      <c r="B1" s="47" t="s">
        <v>63</v>
      </c>
    </row>
    <row r="2" spans="1:11" ht="15.75" thickBot="1" x14ac:dyDescent="0.3">
      <c r="A2" s="68" t="s">
        <v>63</v>
      </c>
      <c r="B2" s="69"/>
      <c r="C2" s="69"/>
      <c r="D2" s="69"/>
      <c r="E2" s="69"/>
      <c r="F2" s="69"/>
      <c r="G2" s="69"/>
      <c r="H2" s="69"/>
      <c r="I2" s="69"/>
      <c r="J2" s="69"/>
      <c r="K2" s="70"/>
    </row>
    <row r="3" spans="1:11" ht="15.75" thickBot="1" x14ac:dyDescent="0.3">
      <c r="A3" s="48" t="s">
        <v>64</v>
      </c>
      <c r="B3" s="49" t="s">
        <v>1</v>
      </c>
      <c r="C3" s="49" t="s">
        <v>65</v>
      </c>
      <c r="D3" s="49" t="s">
        <v>66</v>
      </c>
      <c r="E3" s="49" t="s">
        <v>67</v>
      </c>
      <c r="F3" s="49" t="s">
        <v>59</v>
      </c>
      <c r="G3" s="49" t="s">
        <v>68</v>
      </c>
      <c r="H3" s="49" t="s">
        <v>62</v>
      </c>
      <c r="I3" s="49" t="s">
        <v>69</v>
      </c>
      <c r="J3" s="49" t="s">
        <v>70</v>
      </c>
      <c r="K3" s="50" t="s">
        <v>37</v>
      </c>
    </row>
    <row r="4" spans="1:11" ht="39.75" customHeight="1" thickBot="1" x14ac:dyDescent="0.3">
      <c r="A4" s="51">
        <v>1</v>
      </c>
      <c r="B4" s="52" t="s">
        <v>2</v>
      </c>
      <c r="C4" s="52" t="s">
        <v>83</v>
      </c>
      <c r="D4" s="52" t="s">
        <v>9</v>
      </c>
      <c r="E4" s="52" t="s">
        <v>71</v>
      </c>
      <c r="F4" s="53">
        <v>833837.5</v>
      </c>
      <c r="G4" s="54">
        <v>10000</v>
      </c>
      <c r="H4" s="54">
        <v>147375</v>
      </c>
      <c r="I4" s="54">
        <f t="shared" ref="I4:I13" si="0">F4-G4</f>
        <v>823837.5</v>
      </c>
      <c r="J4" s="52" t="s">
        <v>20</v>
      </c>
      <c r="K4" s="55"/>
    </row>
    <row r="5" spans="1:11" ht="39.75" customHeight="1" thickBot="1" x14ac:dyDescent="0.3">
      <c r="A5" s="51">
        <v>2</v>
      </c>
      <c r="B5" s="52" t="s">
        <v>72</v>
      </c>
      <c r="C5" s="52" t="s">
        <v>83</v>
      </c>
      <c r="D5" s="52" t="s">
        <v>9</v>
      </c>
      <c r="E5" s="52" t="s">
        <v>71</v>
      </c>
      <c r="F5" s="56">
        <v>149677</v>
      </c>
      <c r="G5" s="54">
        <v>149677</v>
      </c>
      <c r="H5" s="54">
        <v>24024</v>
      </c>
      <c r="I5" s="54">
        <f t="shared" si="0"/>
        <v>0</v>
      </c>
      <c r="J5" s="52" t="s">
        <v>22</v>
      </c>
      <c r="K5" s="55"/>
    </row>
    <row r="6" spans="1:11" ht="39.75" customHeight="1" thickBot="1" x14ac:dyDescent="0.3">
      <c r="A6" s="51">
        <v>3</v>
      </c>
      <c r="B6" s="52" t="s">
        <v>74</v>
      </c>
      <c r="C6" s="52" t="s">
        <v>83</v>
      </c>
      <c r="D6" s="52" t="s">
        <v>9</v>
      </c>
      <c r="E6" s="52" t="s">
        <v>71</v>
      </c>
      <c r="F6" s="53">
        <v>26535</v>
      </c>
      <c r="G6" s="53">
        <v>26535</v>
      </c>
      <c r="H6" s="54">
        <v>12913</v>
      </c>
      <c r="I6" s="54">
        <f t="shared" si="0"/>
        <v>0</v>
      </c>
      <c r="J6" s="52" t="s">
        <v>24</v>
      </c>
      <c r="K6" s="55"/>
    </row>
    <row r="7" spans="1:11" ht="39.75" customHeight="1" thickBot="1" x14ac:dyDescent="0.3">
      <c r="A7" s="51">
        <v>4</v>
      </c>
      <c r="B7" s="52" t="s">
        <v>75</v>
      </c>
      <c r="C7" s="52" t="s">
        <v>83</v>
      </c>
      <c r="D7" s="52" t="s">
        <v>9</v>
      </c>
      <c r="E7" s="52" t="s">
        <v>71</v>
      </c>
      <c r="F7" s="56">
        <v>74677</v>
      </c>
      <c r="G7" s="53">
        <v>26535</v>
      </c>
      <c r="H7" s="54">
        <v>15524</v>
      </c>
      <c r="I7" s="54">
        <f t="shared" si="0"/>
        <v>48142</v>
      </c>
      <c r="J7" s="52" t="s">
        <v>26</v>
      </c>
      <c r="K7" s="55"/>
    </row>
    <row r="8" spans="1:11" ht="39.75" customHeight="1" thickBot="1" x14ac:dyDescent="0.3">
      <c r="A8" s="51">
        <v>5</v>
      </c>
      <c r="B8" s="52" t="s">
        <v>76</v>
      </c>
      <c r="C8" s="52" t="s">
        <v>83</v>
      </c>
      <c r="D8" s="52" t="s">
        <v>9</v>
      </c>
      <c r="E8" s="52" t="s">
        <v>71</v>
      </c>
      <c r="F8" s="53">
        <v>19865.5</v>
      </c>
      <c r="G8" s="54"/>
      <c r="H8" s="54">
        <v>7705</v>
      </c>
      <c r="I8" s="54">
        <f t="shared" si="0"/>
        <v>19865.5</v>
      </c>
      <c r="J8" s="52" t="s">
        <v>27</v>
      </c>
      <c r="K8" s="55"/>
    </row>
    <row r="9" spans="1:11" ht="39.75" customHeight="1" thickBot="1" x14ac:dyDescent="0.3">
      <c r="A9" s="51">
        <v>6</v>
      </c>
      <c r="B9" s="52" t="s">
        <v>77</v>
      </c>
      <c r="C9" s="52" t="s">
        <v>83</v>
      </c>
      <c r="D9" s="52" t="s">
        <v>9</v>
      </c>
      <c r="E9" s="52" t="s">
        <v>71</v>
      </c>
      <c r="F9" s="53">
        <v>537372.5</v>
      </c>
      <c r="G9" s="54"/>
      <c r="H9" s="54">
        <v>63803</v>
      </c>
      <c r="I9" s="54">
        <f t="shared" si="0"/>
        <v>537372.5</v>
      </c>
      <c r="J9" s="52" t="s">
        <v>28</v>
      </c>
      <c r="K9" s="55"/>
    </row>
    <row r="10" spans="1:11" ht="39.75" customHeight="1" thickBot="1" x14ac:dyDescent="0.3">
      <c r="A10" s="51">
        <v>7</v>
      </c>
      <c r="B10" s="52" t="s">
        <v>78</v>
      </c>
      <c r="C10" s="52" t="s">
        <v>83</v>
      </c>
      <c r="D10" s="52" t="s">
        <v>9</v>
      </c>
      <c r="E10" s="52" t="s">
        <v>71</v>
      </c>
      <c r="F10" s="53">
        <v>419838.45</v>
      </c>
      <c r="G10" s="54"/>
      <c r="H10" s="54">
        <v>32133</v>
      </c>
      <c r="I10" s="54">
        <f t="shared" si="0"/>
        <v>419838.45</v>
      </c>
      <c r="J10" s="52" t="s">
        <v>29</v>
      </c>
      <c r="K10" s="55"/>
    </row>
    <row r="11" spans="1:11" ht="39.75" customHeight="1" thickBot="1" x14ac:dyDescent="0.3">
      <c r="A11" s="51">
        <v>8</v>
      </c>
      <c r="B11" s="52" t="s">
        <v>79</v>
      </c>
      <c r="C11" s="52" t="s">
        <v>83</v>
      </c>
      <c r="D11" s="52" t="s">
        <v>9</v>
      </c>
      <c r="E11" s="52" t="s">
        <v>71</v>
      </c>
      <c r="F11" s="53">
        <v>756932</v>
      </c>
      <c r="G11" s="54"/>
      <c r="H11" s="54">
        <v>44181</v>
      </c>
      <c r="I11" s="54">
        <f t="shared" si="0"/>
        <v>756932</v>
      </c>
      <c r="J11" s="52" t="s">
        <v>30</v>
      </c>
      <c r="K11" s="55"/>
    </row>
    <row r="12" spans="1:11" ht="39.75" customHeight="1" thickBot="1" x14ac:dyDescent="0.3">
      <c r="A12" s="51">
        <v>9</v>
      </c>
      <c r="B12" s="52" t="s">
        <v>80</v>
      </c>
      <c r="C12" s="52" t="s">
        <v>83</v>
      </c>
      <c r="D12" s="52" t="s">
        <v>9</v>
      </c>
      <c r="E12" s="52" t="s">
        <v>71</v>
      </c>
      <c r="F12" s="53">
        <v>195415</v>
      </c>
      <c r="G12" s="54"/>
      <c r="H12" s="54">
        <v>51447</v>
      </c>
      <c r="I12" s="54">
        <f t="shared" si="0"/>
        <v>195415</v>
      </c>
      <c r="J12" s="52" t="s">
        <v>31</v>
      </c>
      <c r="K12" s="55"/>
    </row>
    <row r="13" spans="1:11" ht="39.75" customHeight="1" thickBot="1" x14ac:dyDescent="0.3">
      <c r="A13" s="51">
        <v>10</v>
      </c>
      <c r="B13" s="52" t="s">
        <v>81</v>
      </c>
      <c r="C13" s="52" t="s">
        <v>83</v>
      </c>
      <c r="D13" s="52" t="s">
        <v>9</v>
      </c>
      <c r="E13" s="52" t="s">
        <v>71</v>
      </c>
      <c r="F13" s="52">
        <v>6600</v>
      </c>
      <c r="G13" s="54"/>
      <c r="H13" s="54">
        <v>0</v>
      </c>
      <c r="I13" s="54">
        <f t="shared" si="0"/>
        <v>6600</v>
      </c>
      <c r="J13" s="52" t="s">
        <v>32</v>
      </c>
      <c r="K13" s="55"/>
    </row>
    <row r="14" spans="1:11" ht="15.75" thickBot="1" x14ac:dyDescent="0.3">
      <c r="A14" s="71" t="s">
        <v>54</v>
      </c>
      <c r="B14" s="72"/>
      <c r="C14" s="72"/>
      <c r="D14" s="57"/>
      <c r="E14" s="57"/>
      <c r="F14" s="58">
        <f>SUM(F4:F13)</f>
        <v>3020749.95</v>
      </c>
      <c r="G14" s="58">
        <f>SUM(G4:G13)</f>
        <v>212747</v>
      </c>
      <c r="H14" s="58">
        <f>SUM(H4:H13)</f>
        <v>399105</v>
      </c>
      <c r="I14" s="58">
        <f>SUM(I4:I13)</f>
        <v>2808002.95</v>
      </c>
      <c r="J14" s="58"/>
      <c r="K14" s="59"/>
    </row>
    <row r="17" spans="4:4" x14ac:dyDescent="0.25">
      <c r="D17" t="s">
        <v>104</v>
      </c>
    </row>
  </sheetData>
  <mergeCells count="2">
    <mergeCell ref="A2:K2"/>
    <mergeCell ref="A14:C14"/>
  </mergeCells>
  <pageMargins left="0.2" right="0.23" top="0.27" bottom="0.37" header="0.2" footer="0.3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8"/>
  <sheetViews>
    <sheetView workbookViewId="0">
      <selection activeCell="E25" sqref="E25"/>
    </sheetView>
  </sheetViews>
  <sheetFormatPr defaultRowHeight="15" x14ac:dyDescent="0.25"/>
  <cols>
    <col min="1" max="1" width="15.28515625" customWidth="1"/>
    <col min="2" max="2" width="27.5703125" customWidth="1"/>
    <col min="3" max="3" width="28.140625" customWidth="1"/>
    <col min="4" max="4" width="26.7109375" customWidth="1"/>
    <col min="5" max="5" width="13.28515625" customWidth="1"/>
    <col min="6" max="6" width="15.28515625" customWidth="1"/>
    <col min="7" max="7" width="12.28515625" customWidth="1"/>
  </cols>
  <sheetData>
    <row r="3" spans="1:7" x14ac:dyDescent="0.25">
      <c r="A3" t="s">
        <v>89</v>
      </c>
      <c r="B3" t="s">
        <v>88</v>
      </c>
      <c r="C3" t="s">
        <v>87</v>
      </c>
      <c r="D3" t="s">
        <v>84</v>
      </c>
      <c r="E3" t="s">
        <v>85</v>
      </c>
      <c r="F3" t="s">
        <v>86</v>
      </c>
      <c r="G3" t="s">
        <v>95</v>
      </c>
    </row>
    <row r="4" spans="1:7" x14ac:dyDescent="0.25">
      <c r="A4" t="s">
        <v>90</v>
      </c>
      <c r="B4" t="s">
        <v>92</v>
      </c>
      <c r="C4" t="s">
        <v>2</v>
      </c>
      <c r="D4" t="s">
        <v>91</v>
      </c>
      <c r="E4" t="s">
        <v>90</v>
      </c>
      <c r="F4" t="s">
        <v>90</v>
      </c>
      <c r="G4" t="s">
        <v>90</v>
      </c>
    </row>
    <row r="5" spans="1:7" x14ac:dyDescent="0.25">
      <c r="A5" t="s">
        <v>90</v>
      </c>
      <c r="B5" t="s">
        <v>92</v>
      </c>
      <c r="C5" t="s">
        <v>90</v>
      </c>
      <c r="D5" t="s">
        <v>91</v>
      </c>
      <c r="E5" t="s">
        <v>90</v>
      </c>
      <c r="F5" t="s">
        <v>90</v>
      </c>
      <c r="G5" t="s">
        <v>90</v>
      </c>
    </row>
    <row r="6" spans="1:7" x14ac:dyDescent="0.25">
      <c r="A6" t="s">
        <v>90</v>
      </c>
      <c r="B6" t="s">
        <v>92</v>
      </c>
      <c r="C6" t="s">
        <v>90</v>
      </c>
      <c r="D6" t="s">
        <v>91</v>
      </c>
      <c r="E6" t="s">
        <v>90</v>
      </c>
      <c r="F6" t="s">
        <v>90</v>
      </c>
      <c r="G6" t="s">
        <v>90</v>
      </c>
    </row>
    <row r="7" spans="1:7" x14ac:dyDescent="0.25">
      <c r="A7" t="s">
        <v>90</v>
      </c>
      <c r="B7" t="s">
        <v>92</v>
      </c>
      <c r="C7" t="s">
        <v>90</v>
      </c>
      <c r="D7" t="s">
        <v>91</v>
      </c>
      <c r="E7" t="s">
        <v>90</v>
      </c>
      <c r="F7" t="s">
        <v>90</v>
      </c>
      <c r="G7" t="s">
        <v>90</v>
      </c>
    </row>
    <row r="8" spans="1:7" x14ac:dyDescent="0.25">
      <c r="A8" t="s">
        <v>90</v>
      </c>
      <c r="B8" t="s">
        <v>93</v>
      </c>
      <c r="C8" t="s">
        <v>90</v>
      </c>
      <c r="D8" t="s">
        <v>94</v>
      </c>
      <c r="E8" t="s">
        <v>94</v>
      </c>
      <c r="F8" t="s">
        <v>94</v>
      </c>
      <c r="G8" t="s">
        <v>90</v>
      </c>
    </row>
    <row r="9" spans="1:7" x14ac:dyDescent="0.25">
      <c r="A9" t="s">
        <v>90</v>
      </c>
      <c r="B9" t="s">
        <v>93</v>
      </c>
      <c r="C9" t="s">
        <v>90</v>
      </c>
      <c r="D9" t="s">
        <v>94</v>
      </c>
      <c r="E9" t="s">
        <v>94</v>
      </c>
      <c r="F9" t="s">
        <v>94</v>
      </c>
      <c r="G9" t="s">
        <v>90</v>
      </c>
    </row>
    <row r="10" spans="1:7" x14ac:dyDescent="0.25">
      <c r="A10" t="s">
        <v>90</v>
      </c>
      <c r="B10" t="s">
        <v>93</v>
      </c>
      <c r="C10" t="s">
        <v>90</v>
      </c>
      <c r="D10" t="s">
        <v>94</v>
      </c>
      <c r="E10" t="s">
        <v>94</v>
      </c>
      <c r="F10" t="s">
        <v>94</v>
      </c>
      <c r="G10" t="s">
        <v>90</v>
      </c>
    </row>
    <row r="11" spans="1:7" x14ac:dyDescent="0.25">
      <c r="A11" t="s">
        <v>90</v>
      </c>
      <c r="B11" t="s">
        <v>93</v>
      </c>
      <c r="C11" t="s">
        <v>90</v>
      </c>
      <c r="D11" t="s">
        <v>94</v>
      </c>
      <c r="E11" t="s">
        <v>94</v>
      </c>
      <c r="F11" t="s">
        <v>94</v>
      </c>
      <c r="G11" t="s">
        <v>90</v>
      </c>
    </row>
    <row r="12" spans="1:7" x14ac:dyDescent="0.25">
      <c r="A12" t="s">
        <v>90</v>
      </c>
      <c r="B12" t="s">
        <v>93</v>
      </c>
      <c r="C12" t="s">
        <v>90</v>
      </c>
      <c r="D12" t="s">
        <v>94</v>
      </c>
      <c r="E12" t="s">
        <v>94</v>
      </c>
      <c r="F12" t="s">
        <v>94</v>
      </c>
      <c r="G12" t="s">
        <v>90</v>
      </c>
    </row>
    <row r="20" spans="2:3" x14ac:dyDescent="0.25">
      <c r="C20" t="s">
        <v>96</v>
      </c>
    </row>
    <row r="21" spans="2:3" x14ac:dyDescent="0.25">
      <c r="B21" t="s">
        <v>1</v>
      </c>
      <c r="C21" t="s">
        <v>97</v>
      </c>
    </row>
    <row r="22" spans="2:3" x14ac:dyDescent="0.25">
      <c r="B22" t="s">
        <v>92</v>
      </c>
      <c r="C22" t="s">
        <v>94</v>
      </c>
    </row>
    <row r="23" spans="2:3" x14ac:dyDescent="0.25">
      <c r="B23" t="s">
        <v>93</v>
      </c>
      <c r="C23" t="s">
        <v>94</v>
      </c>
    </row>
    <row r="24" spans="2:3" x14ac:dyDescent="0.25">
      <c r="B24" t="s">
        <v>54</v>
      </c>
      <c r="C24" t="s">
        <v>98</v>
      </c>
    </row>
    <row r="28" spans="2:3" x14ac:dyDescent="0.25">
      <c r="C28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7:G28"/>
  <sheetViews>
    <sheetView workbookViewId="0">
      <selection activeCell="G29" sqref="G29"/>
    </sheetView>
  </sheetViews>
  <sheetFormatPr defaultRowHeight="15" x14ac:dyDescent="0.25"/>
  <sheetData>
    <row r="27" spans="7:7" x14ac:dyDescent="0.25">
      <c r="G27" t="s">
        <v>102</v>
      </c>
    </row>
    <row r="28" spans="7:7" x14ac:dyDescent="0.25">
      <c r="G28" t="s">
        <v>103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D5" sqref="D5"/>
    </sheetView>
  </sheetViews>
  <sheetFormatPr defaultRowHeight="15" x14ac:dyDescent="0.25"/>
  <cols>
    <col min="1" max="1" width="27.42578125" customWidth="1"/>
    <col min="2" max="2" width="15.5703125" customWidth="1"/>
    <col min="3" max="3" width="11.28515625" customWidth="1"/>
    <col min="4" max="4" width="71.140625" customWidth="1"/>
    <col min="5" max="5" width="12" customWidth="1"/>
  </cols>
  <sheetData>
    <row r="1" spans="1:12" x14ac:dyDescent="0.25">
      <c r="A1" s="75" t="s">
        <v>105</v>
      </c>
      <c r="B1" s="76"/>
      <c r="C1" s="76"/>
      <c r="D1" s="76"/>
      <c r="E1" s="77"/>
      <c r="F1" s="73"/>
      <c r="G1" s="73"/>
      <c r="H1" s="73"/>
      <c r="I1" s="73"/>
      <c r="J1" s="73"/>
      <c r="K1" s="73"/>
      <c r="L1" s="73"/>
    </row>
    <row r="2" spans="1:12" x14ac:dyDescent="0.25">
      <c r="A2" s="78" t="s">
        <v>15</v>
      </c>
      <c r="B2" s="80" t="s">
        <v>109</v>
      </c>
      <c r="C2" s="80" t="s">
        <v>106</v>
      </c>
      <c r="D2" s="80" t="s">
        <v>107</v>
      </c>
      <c r="E2" s="79" t="s">
        <v>108</v>
      </c>
    </row>
    <row r="3" spans="1:12" x14ac:dyDescent="0.25">
      <c r="A3" s="74"/>
      <c r="B3" s="74"/>
      <c r="C3" s="74"/>
      <c r="D3" s="74"/>
      <c r="E3" s="74"/>
    </row>
    <row r="4" spans="1:12" x14ac:dyDescent="0.25">
      <c r="A4" s="74"/>
      <c r="B4" s="74"/>
      <c r="C4" s="74"/>
      <c r="D4" s="74"/>
      <c r="E4" s="74"/>
    </row>
    <row r="5" spans="1:12" x14ac:dyDescent="0.25">
      <c r="A5" s="74"/>
      <c r="B5" s="74"/>
      <c r="C5" s="74"/>
      <c r="D5" s="74"/>
      <c r="E5" s="74"/>
    </row>
    <row r="6" spans="1:12" x14ac:dyDescent="0.25">
      <c r="A6" s="74"/>
      <c r="B6" s="74"/>
      <c r="C6" s="74"/>
      <c r="D6" s="74"/>
      <c r="E6" s="74"/>
    </row>
    <row r="7" spans="1:12" x14ac:dyDescent="0.25">
      <c r="A7" s="74"/>
      <c r="B7" s="74"/>
      <c r="C7" s="74"/>
      <c r="D7" s="74"/>
      <c r="E7" s="74"/>
    </row>
    <row r="8" spans="1:12" x14ac:dyDescent="0.25">
      <c r="A8" s="74"/>
      <c r="B8" s="74"/>
      <c r="C8" s="74"/>
      <c r="D8" s="74"/>
      <c r="E8" s="74"/>
    </row>
    <row r="9" spans="1:12" x14ac:dyDescent="0.25">
      <c r="A9" s="74"/>
      <c r="B9" s="74"/>
      <c r="C9" s="74"/>
      <c r="D9" s="74"/>
      <c r="E9" s="74"/>
    </row>
    <row r="10" spans="1:12" x14ac:dyDescent="0.25">
      <c r="A10" s="74"/>
      <c r="B10" s="74"/>
      <c r="C10" s="74"/>
      <c r="D10" s="74"/>
      <c r="E10" s="74"/>
    </row>
    <row r="11" spans="1:12" x14ac:dyDescent="0.25">
      <c r="A11" s="74"/>
      <c r="B11" s="74"/>
      <c r="C11" s="74"/>
      <c r="D11" s="74"/>
      <c r="E11" s="74"/>
    </row>
    <row r="12" spans="1:12" x14ac:dyDescent="0.25">
      <c r="A12" s="74"/>
      <c r="B12" s="74"/>
      <c r="C12" s="74"/>
      <c r="D12" s="74"/>
      <c r="E12" s="74"/>
    </row>
    <row r="13" spans="1:12" x14ac:dyDescent="0.25">
      <c r="A13" s="74"/>
      <c r="B13" s="74"/>
      <c r="C13" s="74"/>
      <c r="D13" s="74"/>
      <c r="E13" s="74"/>
    </row>
    <row r="14" spans="1:12" x14ac:dyDescent="0.25">
      <c r="A14" s="74"/>
      <c r="B14" s="74"/>
      <c r="C14" s="74"/>
      <c r="D14" s="74"/>
      <c r="E14" s="74"/>
    </row>
    <row r="15" spans="1:12" x14ac:dyDescent="0.25">
      <c r="A15" s="74"/>
      <c r="B15" s="74"/>
      <c r="C15" s="74"/>
      <c r="D15" s="74"/>
      <c r="E15" s="74"/>
    </row>
    <row r="16" spans="1:12" x14ac:dyDescent="0.25">
      <c r="A16" s="74"/>
      <c r="B16" s="74"/>
      <c r="C16" s="74"/>
      <c r="D16" s="74"/>
      <c r="E16" s="74"/>
    </row>
    <row r="17" spans="1:5" x14ac:dyDescent="0.25">
      <c r="A17" s="74"/>
      <c r="B17" s="74"/>
      <c r="C17" s="74"/>
      <c r="D17" s="74"/>
      <c r="E17" s="74"/>
    </row>
    <row r="18" spans="1:5" x14ac:dyDescent="0.25">
      <c r="A18" s="74"/>
      <c r="B18" s="74"/>
      <c r="C18" s="74"/>
      <c r="D18" s="74"/>
      <c r="E18" s="74"/>
    </row>
    <row r="19" spans="1:5" x14ac:dyDescent="0.25">
      <c r="A19" s="74"/>
      <c r="B19" s="74"/>
      <c r="C19" s="74"/>
      <c r="D19" s="74"/>
      <c r="E19" s="74"/>
    </row>
    <row r="20" spans="1:5" x14ac:dyDescent="0.25">
      <c r="A20" s="74"/>
      <c r="B20" s="74"/>
      <c r="C20" s="74"/>
      <c r="D20" s="74"/>
      <c r="E20" s="74"/>
    </row>
    <row r="21" spans="1:5" x14ac:dyDescent="0.25">
      <c r="A21" s="74"/>
      <c r="B21" s="74"/>
      <c r="C21" s="74"/>
      <c r="D21" s="74"/>
      <c r="E21" s="74"/>
    </row>
    <row r="22" spans="1:5" x14ac:dyDescent="0.25">
      <c r="A22" s="74"/>
      <c r="B22" s="74"/>
      <c r="C22" s="74"/>
      <c r="D22" s="74"/>
      <c r="E22" s="74"/>
    </row>
    <row r="23" spans="1:5" x14ac:dyDescent="0.25">
      <c r="A23" s="74"/>
      <c r="B23" s="74"/>
      <c r="C23" s="74"/>
      <c r="D23" s="74"/>
      <c r="E23" s="74"/>
    </row>
    <row r="24" spans="1:5" x14ac:dyDescent="0.25">
      <c r="A24" s="74"/>
      <c r="B24" s="74"/>
      <c r="C24" s="74"/>
      <c r="D24" s="74"/>
      <c r="E24" s="74"/>
    </row>
    <row r="25" spans="1:5" x14ac:dyDescent="0.25">
      <c r="A25" s="74"/>
      <c r="B25" s="74"/>
      <c r="C25" s="74"/>
      <c r="D25" s="74"/>
      <c r="E25" s="74"/>
    </row>
    <row r="26" spans="1:5" x14ac:dyDescent="0.25">
      <c r="A26" s="74"/>
      <c r="B26" s="74"/>
      <c r="C26" s="74"/>
      <c r="D26" s="74"/>
      <c r="E26" s="74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Action Report</vt:lpstr>
      <vt:lpstr>Expence Report</vt:lpstr>
      <vt:lpstr>Client Base Statement</vt:lpstr>
      <vt:lpstr>Action Report With Clim and Ex</vt:lpstr>
      <vt:lpstr>Closed legal repoirt</vt:lpstr>
      <vt:lpstr>Bad Debts</vt:lpstr>
      <vt:lpstr>Summery Report Firm Wise</vt:lpstr>
      <vt:lpstr>Sheet1</vt:lpstr>
      <vt:lpstr>Graph</vt:lpstr>
      <vt:lpstr>uae Pass</vt:lpstr>
      <vt:lpstr>'Action Report'!Print_Area</vt:lpstr>
      <vt:lpstr>'Action Report With Clim and Ex'!Print_Area</vt:lpstr>
      <vt:lpstr>'Bad Debts'!Print_Area</vt:lpstr>
      <vt:lpstr>'Client Base Statement'!Print_Area</vt:lpstr>
      <vt:lpstr>'Closed legal repoirt'!Print_Area</vt:lpstr>
      <vt:lpstr>'Expence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Ajeesh</dc:creator>
  <cp:lastModifiedBy>Muhammed Ajeesh</cp:lastModifiedBy>
  <dcterms:created xsi:type="dcterms:W3CDTF">2023-02-22T13:25:50Z</dcterms:created>
  <dcterms:modified xsi:type="dcterms:W3CDTF">2025-01-20T07:08:38Z</dcterms:modified>
</cp:coreProperties>
</file>